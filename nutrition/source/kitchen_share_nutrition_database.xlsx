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it\LilavanaWebsite\Lilavana\nutrition\source\"/>
    </mc:Choice>
  </mc:AlternateContent>
  <xr:revisionPtr revIDLastSave="0" documentId="8_{9BA71357-B82E-40C7-A321-7892AAD18A01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Ingredient Database" sheetId="1" r:id="rId1"/>
    <sheet name="Recipe - Banh Mi Bowl" sheetId="2" r:id="rId2"/>
    <sheet name="Recipe - Chana Masala" sheetId="3" r:id="rId3"/>
    <sheet name="Recipe - Burrito" sheetId="4" r:id="rId4"/>
    <sheet name="Recipe - Muffins" sheetId="5" r:id="rId5"/>
    <sheet name="Recipe - Template" sheetId="6" r:id="rId6"/>
  </sheets>
  <definedNames>
    <definedName name="_xlnm._FilterDatabase" localSheetId="0" hidden="1">'Ingredient Database'!$A$4:$O$38</definedName>
    <definedName name="_xlnm.Print_Area" localSheetId="1">'Recipe - Banh Mi Bowl'!$A$1:$P$15</definedName>
    <definedName name="_xlnm.Print_Area" localSheetId="3">'Recipe - Burrito'!$A$1:$P$10</definedName>
    <definedName name="_xlnm.Print_Area" localSheetId="2">'Recipe - Chana Masala'!$A$1:$P$14</definedName>
    <definedName name="_xlnm.Print_Area" localSheetId="4">'Recipe - Muffins'!$A$1:$P$21</definedName>
    <definedName name="_xlnm.Print_Area" localSheetId="5">'Recipe - Template'!$A$1:$P$11</definedName>
    <definedName name="_xlnm.Print_Titles" localSheetId="1">'Recipe - Banh Mi Bowl'!$4:$4</definedName>
    <definedName name="_xlnm.Print_Titles" localSheetId="3">'Recipe - Burrito'!$4:$4</definedName>
    <definedName name="_xlnm.Print_Titles" localSheetId="2">'Recipe - Chana Masala'!$4:$4</definedName>
    <definedName name="_xlnm.Print_Titles" localSheetId="4">'Recipe - Muffins'!$4:$4</definedName>
    <definedName name="_xlnm.Print_Titles" localSheetId="5">'Recipe - Template'!$4:$4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" i="6" l="1"/>
  <c r="O10" i="6"/>
  <c r="N10" i="6"/>
  <c r="M10" i="6"/>
  <c r="L10" i="6"/>
  <c r="K10" i="6"/>
  <c r="J10" i="6"/>
  <c r="I10" i="6"/>
  <c r="H10" i="6"/>
  <c r="G10" i="6"/>
  <c r="F10" i="6"/>
  <c r="E10" i="6"/>
  <c r="D10" i="6"/>
  <c r="P9" i="6"/>
  <c r="O9" i="6"/>
  <c r="N9" i="6"/>
  <c r="M9" i="6"/>
  <c r="L9" i="6"/>
  <c r="K9" i="6"/>
  <c r="J9" i="6"/>
  <c r="I9" i="6"/>
  <c r="H9" i="6"/>
  <c r="G9" i="6"/>
  <c r="F9" i="6"/>
  <c r="E9" i="6"/>
  <c r="D9" i="6"/>
  <c r="P8" i="6"/>
  <c r="O8" i="6"/>
  <c r="N8" i="6"/>
  <c r="M8" i="6"/>
  <c r="L8" i="6"/>
  <c r="K8" i="6"/>
  <c r="J8" i="6"/>
  <c r="I8" i="6"/>
  <c r="H8" i="6"/>
  <c r="G8" i="6"/>
  <c r="F8" i="6"/>
  <c r="E8" i="6"/>
  <c r="D8" i="6"/>
  <c r="P7" i="6"/>
  <c r="O7" i="6"/>
  <c r="N7" i="6"/>
  <c r="M7" i="6"/>
  <c r="L7" i="6"/>
  <c r="K7" i="6"/>
  <c r="J7" i="6"/>
  <c r="I7" i="6"/>
  <c r="H7" i="6"/>
  <c r="G7" i="6"/>
  <c r="F7" i="6"/>
  <c r="E7" i="6"/>
  <c r="D7" i="6"/>
  <c r="P6" i="6"/>
  <c r="O6" i="6"/>
  <c r="N6" i="6"/>
  <c r="M6" i="6"/>
  <c r="L6" i="6"/>
  <c r="K6" i="6"/>
  <c r="J6" i="6"/>
  <c r="I6" i="6"/>
  <c r="H6" i="6"/>
  <c r="G6" i="6"/>
  <c r="F6" i="6"/>
  <c r="E6" i="6"/>
  <c r="D6" i="6"/>
  <c r="P5" i="6"/>
  <c r="P11" i="6" s="1"/>
  <c r="O5" i="6"/>
  <c r="O11" i="6" s="1"/>
  <c r="N5" i="6"/>
  <c r="N11" i="6" s="1"/>
  <c r="M5" i="6"/>
  <c r="M11" i="6" s="1"/>
  <c r="L5" i="6"/>
  <c r="L11" i="6" s="1"/>
  <c r="K5" i="6"/>
  <c r="K11" i="6" s="1"/>
  <c r="J5" i="6"/>
  <c r="J11" i="6" s="1"/>
  <c r="I5" i="6"/>
  <c r="I11" i="6" s="1"/>
  <c r="H5" i="6"/>
  <c r="H11" i="6" s="1"/>
  <c r="G5" i="6"/>
  <c r="G11" i="6" s="1"/>
  <c r="F5" i="6"/>
  <c r="F11" i="6" s="1"/>
  <c r="E5" i="6"/>
  <c r="E11" i="6" s="1"/>
  <c r="D5" i="6"/>
  <c r="D11" i="6" s="1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P11" i="5"/>
  <c r="O11" i="5"/>
  <c r="N11" i="5"/>
  <c r="M11" i="5"/>
  <c r="L11" i="5"/>
  <c r="K11" i="5"/>
  <c r="J11" i="5"/>
  <c r="J19" i="5" s="1"/>
  <c r="J21" i="5" s="1"/>
  <c r="I11" i="5"/>
  <c r="H11" i="5"/>
  <c r="G11" i="5"/>
  <c r="F11" i="5"/>
  <c r="E11" i="5"/>
  <c r="D11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P9" i="5"/>
  <c r="O9" i="5"/>
  <c r="N9" i="5"/>
  <c r="M9" i="5"/>
  <c r="L9" i="5"/>
  <c r="K9" i="5"/>
  <c r="J9" i="5"/>
  <c r="I9" i="5"/>
  <c r="H9" i="5"/>
  <c r="G9" i="5"/>
  <c r="F9" i="5"/>
  <c r="E9" i="5"/>
  <c r="D9" i="5"/>
  <c r="P8" i="5"/>
  <c r="O8" i="5"/>
  <c r="N8" i="5"/>
  <c r="M8" i="5"/>
  <c r="L8" i="5"/>
  <c r="K8" i="5"/>
  <c r="J8" i="5"/>
  <c r="I8" i="5"/>
  <c r="H8" i="5"/>
  <c r="G8" i="5"/>
  <c r="F8" i="5"/>
  <c r="E8" i="5"/>
  <c r="D8" i="5"/>
  <c r="P7" i="5"/>
  <c r="O7" i="5"/>
  <c r="N7" i="5"/>
  <c r="M7" i="5"/>
  <c r="L7" i="5"/>
  <c r="K7" i="5"/>
  <c r="J7" i="5"/>
  <c r="I7" i="5"/>
  <c r="H7" i="5"/>
  <c r="G7" i="5"/>
  <c r="F7" i="5"/>
  <c r="E7" i="5"/>
  <c r="D7" i="5"/>
  <c r="P6" i="5"/>
  <c r="O6" i="5"/>
  <c r="N6" i="5"/>
  <c r="M6" i="5"/>
  <c r="L6" i="5"/>
  <c r="K6" i="5"/>
  <c r="K19" i="5" s="1"/>
  <c r="K21" i="5" s="1"/>
  <c r="J6" i="5"/>
  <c r="I6" i="5"/>
  <c r="H6" i="5"/>
  <c r="G6" i="5"/>
  <c r="F6" i="5"/>
  <c r="E6" i="5"/>
  <c r="D6" i="5"/>
  <c r="P5" i="5"/>
  <c r="P19" i="5" s="1"/>
  <c r="P21" i="5" s="1"/>
  <c r="O5" i="5"/>
  <c r="O19" i="5" s="1"/>
  <c r="O21" i="5" s="1"/>
  <c r="N5" i="5"/>
  <c r="N19" i="5" s="1"/>
  <c r="N21" i="5" s="1"/>
  <c r="M5" i="5"/>
  <c r="M19" i="5" s="1"/>
  <c r="M21" i="5" s="1"/>
  <c r="L5" i="5"/>
  <c r="L19" i="5" s="1"/>
  <c r="L21" i="5" s="1"/>
  <c r="K5" i="5"/>
  <c r="J5" i="5"/>
  <c r="I5" i="5"/>
  <c r="I19" i="5" s="1"/>
  <c r="I21" i="5" s="1"/>
  <c r="H5" i="5"/>
  <c r="H19" i="5" s="1"/>
  <c r="H21" i="5" s="1"/>
  <c r="G5" i="5"/>
  <c r="G19" i="5" s="1"/>
  <c r="G21" i="5" s="1"/>
  <c r="F5" i="5"/>
  <c r="F19" i="5" s="1"/>
  <c r="F21" i="5" s="1"/>
  <c r="E5" i="5"/>
  <c r="E19" i="5" s="1"/>
  <c r="E21" i="5" s="1"/>
  <c r="D5" i="5"/>
  <c r="D19" i="5" s="1"/>
  <c r="D21" i="5" s="1"/>
  <c r="M10" i="4"/>
  <c r="E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P8" i="4"/>
  <c r="O8" i="4"/>
  <c r="N8" i="4"/>
  <c r="M8" i="4"/>
  <c r="L8" i="4"/>
  <c r="K8" i="4"/>
  <c r="J8" i="4"/>
  <c r="I8" i="4"/>
  <c r="H8" i="4"/>
  <c r="G8" i="4"/>
  <c r="F8" i="4"/>
  <c r="E8" i="4"/>
  <c r="D8" i="4"/>
  <c r="P7" i="4"/>
  <c r="O7" i="4"/>
  <c r="N7" i="4"/>
  <c r="M7" i="4"/>
  <c r="L7" i="4"/>
  <c r="K7" i="4"/>
  <c r="J7" i="4"/>
  <c r="I7" i="4"/>
  <c r="H7" i="4"/>
  <c r="G7" i="4"/>
  <c r="F7" i="4"/>
  <c r="E7" i="4"/>
  <c r="D7" i="4"/>
  <c r="P6" i="4"/>
  <c r="O6" i="4"/>
  <c r="N6" i="4"/>
  <c r="M6" i="4"/>
  <c r="L6" i="4"/>
  <c r="K6" i="4"/>
  <c r="J6" i="4"/>
  <c r="I6" i="4"/>
  <c r="H6" i="4"/>
  <c r="G6" i="4"/>
  <c r="F6" i="4"/>
  <c r="E6" i="4"/>
  <c r="D6" i="4"/>
  <c r="P5" i="4"/>
  <c r="P10" i="4" s="1"/>
  <c r="O5" i="4"/>
  <c r="O10" i="4" s="1"/>
  <c r="N5" i="4"/>
  <c r="N10" i="4" s="1"/>
  <c r="M5" i="4"/>
  <c r="L5" i="4"/>
  <c r="L10" i="4" s="1"/>
  <c r="K5" i="4"/>
  <c r="K10" i="4" s="1"/>
  <c r="J5" i="4"/>
  <c r="J10" i="4" s="1"/>
  <c r="I5" i="4"/>
  <c r="I10" i="4" s="1"/>
  <c r="H5" i="4"/>
  <c r="H10" i="4" s="1"/>
  <c r="G5" i="4"/>
  <c r="G10" i="4" s="1"/>
  <c r="F5" i="4"/>
  <c r="F10" i="4" s="1"/>
  <c r="E5" i="4"/>
  <c r="D5" i="4"/>
  <c r="D10" i="4" s="1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P9" i="3"/>
  <c r="O9" i="3"/>
  <c r="N9" i="3"/>
  <c r="M9" i="3"/>
  <c r="L9" i="3"/>
  <c r="K9" i="3"/>
  <c r="J9" i="3"/>
  <c r="I9" i="3"/>
  <c r="H9" i="3"/>
  <c r="G9" i="3"/>
  <c r="F9" i="3"/>
  <c r="E9" i="3"/>
  <c r="D9" i="3"/>
  <c r="P8" i="3"/>
  <c r="O8" i="3"/>
  <c r="N8" i="3"/>
  <c r="M8" i="3"/>
  <c r="L8" i="3"/>
  <c r="K8" i="3"/>
  <c r="J8" i="3"/>
  <c r="I8" i="3"/>
  <c r="H8" i="3"/>
  <c r="G8" i="3"/>
  <c r="F8" i="3"/>
  <c r="E8" i="3"/>
  <c r="D8" i="3"/>
  <c r="P7" i="3"/>
  <c r="O7" i="3"/>
  <c r="N7" i="3"/>
  <c r="M7" i="3"/>
  <c r="L7" i="3"/>
  <c r="K7" i="3"/>
  <c r="J7" i="3"/>
  <c r="I7" i="3"/>
  <c r="H7" i="3"/>
  <c r="G7" i="3"/>
  <c r="F7" i="3"/>
  <c r="E7" i="3"/>
  <c r="D7" i="3"/>
  <c r="P6" i="3"/>
  <c r="O6" i="3"/>
  <c r="N6" i="3"/>
  <c r="M6" i="3"/>
  <c r="L6" i="3"/>
  <c r="L14" i="3" s="1"/>
  <c r="K6" i="3"/>
  <c r="K14" i="3" s="1"/>
  <c r="J6" i="3"/>
  <c r="I6" i="3"/>
  <c r="H6" i="3"/>
  <c r="G6" i="3"/>
  <c r="F6" i="3"/>
  <c r="E6" i="3"/>
  <c r="D6" i="3"/>
  <c r="D14" i="3" s="1"/>
  <c r="P5" i="3"/>
  <c r="P14" i="3" s="1"/>
  <c r="O5" i="3"/>
  <c r="O14" i="3" s="1"/>
  <c r="N5" i="3"/>
  <c r="N14" i="3" s="1"/>
  <c r="M5" i="3"/>
  <c r="M14" i="3" s="1"/>
  <c r="L5" i="3"/>
  <c r="K5" i="3"/>
  <c r="J5" i="3"/>
  <c r="J14" i="3" s="1"/>
  <c r="I5" i="3"/>
  <c r="I14" i="3" s="1"/>
  <c r="H5" i="3"/>
  <c r="H14" i="3" s="1"/>
  <c r="G5" i="3"/>
  <c r="G14" i="3" s="1"/>
  <c r="F5" i="3"/>
  <c r="F14" i="3" s="1"/>
  <c r="E5" i="3"/>
  <c r="E14" i="3" s="1"/>
  <c r="D5" i="3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P8" i="2"/>
  <c r="O8" i="2"/>
  <c r="N8" i="2"/>
  <c r="M8" i="2"/>
  <c r="L8" i="2"/>
  <c r="K8" i="2"/>
  <c r="J8" i="2"/>
  <c r="I8" i="2"/>
  <c r="H8" i="2"/>
  <c r="G8" i="2"/>
  <c r="F8" i="2"/>
  <c r="E8" i="2"/>
  <c r="D8" i="2"/>
  <c r="P7" i="2"/>
  <c r="O7" i="2"/>
  <c r="N7" i="2"/>
  <c r="N15" i="2" s="1"/>
  <c r="M7" i="2"/>
  <c r="M15" i="2" s="1"/>
  <c r="L7" i="2"/>
  <c r="K7" i="2"/>
  <c r="J7" i="2"/>
  <c r="I7" i="2"/>
  <c r="H7" i="2"/>
  <c r="G7" i="2"/>
  <c r="F7" i="2"/>
  <c r="F15" i="2" s="1"/>
  <c r="E7" i="2"/>
  <c r="E15" i="2" s="1"/>
  <c r="D7" i="2"/>
  <c r="P6" i="2"/>
  <c r="O6" i="2"/>
  <c r="N6" i="2"/>
  <c r="M6" i="2"/>
  <c r="L6" i="2"/>
  <c r="K6" i="2"/>
  <c r="J6" i="2"/>
  <c r="I6" i="2"/>
  <c r="H6" i="2"/>
  <c r="G6" i="2"/>
  <c r="F6" i="2"/>
  <c r="E6" i="2"/>
  <c r="D6" i="2"/>
  <c r="P5" i="2"/>
  <c r="P15" i="2" s="1"/>
  <c r="O5" i="2"/>
  <c r="O15" i="2" s="1"/>
  <c r="N5" i="2"/>
  <c r="M5" i="2"/>
  <c r="L5" i="2"/>
  <c r="L15" i="2" s="1"/>
  <c r="K5" i="2"/>
  <c r="K15" i="2" s="1"/>
  <c r="J5" i="2"/>
  <c r="J15" i="2" s="1"/>
  <c r="I5" i="2"/>
  <c r="I15" i="2" s="1"/>
  <c r="H5" i="2"/>
  <c r="H15" i="2" s="1"/>
  <c r="G5" i="2"/>
  <c r="G15" i="2" s="1"/>
  <c r="F5" i="2"/>
  <c r="E5" i="2"/>
  <c r="D5" i="2"/>
  <c r="D15" i="2" s="1"/>
</calcChain>
</file>

<file path=xl/sharedStrings.xml><?xml version="1.0" encoding="utf-8"?>
<sst xmlns="http://schemas.openxmlformats.org/spreadsheetml/2006/main" count="269" uniqueCount="100">
  <si>
    <t>Kitchen Share — Ingredient Nutrition Database</t>
  </si>
  <si>
    <t>All values per 100 g unless noted. Add new ingredients as rows — recipe sheets look them up by exact name.</t>
  </si>
  <si>
    <t>Ingredient</t>
  </si>
  <si>
    <t>Basis</t>
  </si>
  <si>
    <t>Calories</t>
  </si>
  <si>
    <t>Protein (g)</t>
  </si>
  <si>
    <t>Carbs (g)</t>
  </si>
  <si>
    <t>Fat (g)</t>
  </si>
  <si>
    <t>Fiber (g)</t>
  </si>
  <si>
    <t>Iron (mg)</t>
  </si>
  <si>
    <t>Calcium (mg)</t>
  </si>
  <si>
    <t>Magnesium (mg)</t>
  </si>
  <si>
    <t>Potassium (mg)</t>
  </si>
  <si>
    <t>Zinc (mg)</t>
  </si>
  <si>
    <t>Vitamin A (mcg)</t>
  </si>
  <si>
    <t>Vitamin C (mg)</t>
  </si>
  <si>
    <t>Folate (mcg)</t>
  </si>
  <si>
    <t>Barley, cooked</t>
  </si>
  <si>
    <t>100 g</t>
  </si>
  <si>
    <t>Jasmine rice, cooked</t>
  </si>
  <si>
    <t>Parboiled rice, cooked</t>
  </si>
  <si>
    <t>Chickpeas, cooked</t>
  </si>
  <si>
    <t>Green peas</t>
  </si>
  <si>
    <t>Black lentils, dry curry style (garlic, onion, turmeric, cumin, chile)</t>
  </si>
  <si>
    <t>Tomato-onion-garlic-ginger-curry leaf base</t>
  </si>
  <si>
    <t>Extra virgin olive oil</t>
  </si>
  <si>
    <t>Vegetable oil, neutral</t>
  </si>
  <si>
    <t>Garlic clove</t>
  </si>
  <si>
    <t>1 clove (~3 g)</t>
  </si>
  <si>
    <t>Chickwheat seitan (Avocados &amp; Ales base recipe)</t>
  </si>
  <si>
    <t>La Banderita super burrito flour tortilla</t>
  </si>
  <si>
    <t>Napa cabbage, carrot &amp; daikon slaw (vinegar)</t>
  </si>
  <si>
    <t>Creamy avocado dressing (lime, mayo/coconut milk, fish sauce, agave)</t>
  </si>
  <si>
    <t>Firm tofu (Pulmuone)</t>
  </si>
  <si>
    <t>Jackfruit, ripe</t>
  </si>
  <si>
    <t>Cabbage &amp; romaine mix</t>
  </si>
  <si>
    <t>Carrot &amp; daikon quick pickle</t>
  </si>
  <si>
    <t>Cilantro, chopped</t>
  </si>
  <si>
    <t>Green onion greens, chopped</t>
  </si>
  <si>
    <t>Rolled oats, dry</t>
  </si>
  <si>
    <t>All-purpose flour, enriched</t>
  </si>
  <si>
    <t>Chia seeds</t>
  </si>
  <si>
    <t>Cinnamon, ground</t>
  </si>
  <si>
    <t>Cloves, ground</t>
  </si>
  <si>
    <t>Maple syrup</t>
  </si>
  <si>
    <t>Coconut oil</t>
  </si>
  <si>
    <t>Light brown sugar</t>
  </si>
  <si>
    <t>Vanilla extract</t>
  </si>
  <si>
    <t>Silk unsweetened soy milk</t>
  </si>
  <si>
    <t>Frozen blueberries</t>
  </si>
  <si>
    <t>Pumpkin seeds</t>
  </si>
  <si>
    <t>Sunflower seeds</t>
  </si>
  <si>
    <t>Flax meal</t>
  </si>
  <si>
    <t>Banh Mi Grain Bowl</t>
  </si>
  <si>
    <t>Per jar / per serving — pulls nutrient values live from 'Ingredient Database'</t>
  </si>
  <si>
    <t>Ingredient (must match database exactly)</t>
  </si>
  <si>
    <t>Amount (g, or units)</t>
  </si>
  <si>
    <t>Multiplier (x /100g)</t>
  </si>
  <si>
    <t>85 g</t>
  </si>
  <si>
    <t>90.7 g</t>
  </si>
  <si>
    <t>4.5 g (1 tsp)</t>
  </si>
  <si>
    <t>50 g</t>
  </si>
  <si>
    <t>1 g (1 tsp)</t>
  </si>
  <si>
    <t>60 g</t>
  </si>
  <si>
    <t>TOTAL</t>
  </si>
  <si>
    <t>Chana Masala over Jasmine Rice with Curried Seitan</t>
  </si>
  <si>
    <t>Per serving — pulls nutrient values live from 'Ingredient Database'</t>
  </si>
  <si>
    <t>200 g</t>
  </si>
  <si>
    <t>75 g</t>
  </si>
  <si>
    <t>20 g</t>
  </si>
  <si>
    <t>55 g</t>
  </si>
  <si>
    <t>2.3 g (1/2 tsp)</t>
  </si>
  <si>
    <t>150 g</t>
  </si>
  <si>
    <t>7.5 g (saute)</t>
  </si>
  <si>
    <t>1 clove</t>
  </si>
  <si>
    <t>1 g (1 tsp, garnish)</t>
  </si>
  <si>
    <t>Parboiled Rice, Black Lentil &amp; Seitan Burrito</t>
  </si>
  <si>
    <t>Per burrito — pulls nutrient values live from 'Ingredient Database'</t>
  </si>
  <si>
    <t>90 g</t>
  </si>
  <si>
    <t>125 g</t>
  </si>
  <si>
    <t>40 g</t>
  </si>
  <si>
    <t>Seedy Oatmeal Muffins (batch of 9)</t>
  </si>
  <si>
    <t>Batch total — pulls nutrient values live from 'Ingredient Database'</t>
  </si>
  <si>
    <t>180 g</t>
  </si>
  <si>
    <t>140 g</t>
  </si>
  <si>
    <t>36 g (3 tbsp)</t>
  </si>
  <si>
    <t>2.3 g (1 tsp)</t>
  </si>
  <si>
    <t>79 g (1/4 cup)</t>
  </si>
  <si>
    <t>73 g (1/3 cup)</t>
  </si>
  <si>
    <t>55 g (1/4 cup)</t>
  </si>
  <si>
    <t>4.2 g (1 tsp)</t>
  </si>
  <si>
    <t>240 g (1 cup)</t>
  </si>
  <si>
    <t>145 g (1 cup)</t>
  </si>
  <si>
    <t>18 g (2 tbsp)</t>
  </si>
  <si>
    <t>14 g (2 tbsp)</t>
  </si>
  <si>
    <t>PER MUFFIN (batch total ÷ 9)</t>
  </si>
  <si>
    <t>New Recipe Name</t>
  </si>
  <si>
    <t>Copy this tab for every new dish. Type ingredient names EXACTLY as they appear in 'Ingredient Database', and set Multiplier = grams ÷ 100 (or the right unit multiplier for non-100g rows like garlic cloves).</t>
  </si>
  <si>
    <t>(type exact ingredient name from database)</t>
  </si>
  <si>
    <t>e.g. 100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</si>
</sst>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6"/>
      <color rgb="FF2E4B3C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4B3C"/>
        <bgColor rgb="FF555555"/>
      </patternFill>
    </fill>
    <fill>
      <patternFill patternType="solid">
        <fgColor rgb="FFD9E4DC"/>
        <bgColor rgb="FFCC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6" fillId="3" borderId="1" xfId="0" applyFont="1" applyFill="1" applyBorder="1"/>
    <xf numFmtId="0" fontId="0" fillId="3" borderId="1" xfId="0" applyFill="1" applyBorder="1"/>
    <xf numFmtId="164" fontId="6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B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showGridLines="0" tabSelected="1" zoomScaleNormal="100" workbookViewId="0">
      <pane ySplit="4" topLeftCell="A5" activePane="bottomLeft" state="frozen"/>
      <selection pane="bottomLeft" activeCell="C13" sqref="C13"/>
    </sheetView>
  </sheetViews>
  <sheetFormatPr defaultColWidth="8.6640625" defaultRowHeight="14.4" x14ac:dyDescent="0.3"/>
  <cols>
    <col min="1" max="1" width="42" customWidth="1"/>
    <col min="2" max="2" width="14" customWidth="1"/>
    <col min="3" max="15" width="11" customWidth="1"/>
  </cols>
  <sheetData>
    <row r="1" spans="1:16" ht="2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6" x14ac:dyDescent="0.3">
      <c r="A5" s="4" t="s">
        <v>17</v>
      </c>
      <c r="B5" s="5" t="s">
        <v>18</v>
      </c>
      <c r="C5" s="6">
        <v>123</v>
      </c>
      <c r="D5" s="6">
        <v>2.2999999999999998</v>
      </c>
      <c r="E5" s="6">
        <v>28.2</v>
      </c>
      <c r="F5" s="6">
        <v>0.4</v>
      </c>
      <c r="G5" s="6">
        <v>3.8</v>
      </c>
      <c r="H5" s="6">
        <v>1.3</v>
      </c>
      <c r="I5" s="6">
        <v>11</v>
      </c>
      <c r="J5" s="6">
        <v>22</v>
      </c>
      <c r="K5" s="6">
        <v>93</v>
      </c>
      <c r="L5" s="6">
        <v>1.3</v>
      </c>
      <c r="M5" s="6">
        <v>0</v>
      </c>
      <c r="N5" s="6">
        <v>0</v>
      </c>
      <c r="O5" s="6">
        <v>16</v>
      </c>
    </row>
    <row r="6" spans="1:16" x14ac:dyDescent="0.3">
      <c r="A6" s="4" t="s">
        <v>19</v>
      </c>
      <c r="B6" s="5" t="s">
        <v>18</v>
      </c>
      <c r="C6" s="6">
        <v>130</v>
      </c>
      <c r="D6" s="6">
        <v>2.7</v>
      </c>
      <c r="E6" s="6">
        <v>28</v>
      </c>
      <c r="F6" s="6">
        <v>0.3</v>
      </c>
      <c r="G6" s="6">
        <v>0.4</v>
      </c>
      <c r="H6" s="6">
        <v>1.2</v>
      </c>
      <c r="I6" s="6">
        <v>3</v>
      </c>
      <c r="J6" s="6">
        <v>12</v>
      </c>
      <c r="K6" s="6">
        <v>35</v>
      </c>
      <c r="L6" s="6">
        <v>0.5</v>
      </c>
      <c r="M6" s="6">
        <v>0</v>
      </c>
      <c r="N6" s="6">
        <v>0</v>
      </c>
      <c r="O6" s="6">
        <v>45</v>
      </c>
    </row>
    <row r="7" spans="1:16" x14ac:dyDescent="0.3">
      <c r="A7" s="4" t="s">
        <v>20</v>
      </c>
      <c r="B7" s="5" t="s">
        <v>18</v>
      </c>
      <c r="C7" s="6">
        <v>123</v>
      </c>
      <c r="D7" s="6">
        <v>2.6</v>
      </c>
      <c r="E7" s="6">
        <v>26</v>
      </c>
      <c r="F7" s="6">
        <v>0.2</v>
      </c>
      <c r="G7" s="6">
        <v>0.4</v>
      </c>
      <c r="H7" s="6">
        <v>0.5</v>
      </c>
      <c r="I7" s="6">
        <v>3</v>
      </c>
      <c r="J7" s="6">
        <v>15</v>
      </c>
      <c r="K7" s="6">
        <v>45</v>
      </c>
      <c r="L7" s="6">
        <v>0.5</v>
      </c>
      <c r="M7" s="6">
        <v>0</v>
      </c>
      <c r="N7" s="6">
        <v>0</v>
      </c>
      <c r="O7" s="6">
        <v>20</v>
      </c>
    </row>
    <row r="8" spans="1:16" x14ac:dyDescent="0.3">
      <c r="A8" s="4" t="s">
        <v>21</v>
      </c>
      <c r="B8" s="5" t="s">
        <v>18</v>
      </c>
      <c r="C8" s="6">
        <v>164</v>
      </c>
      <c r="D8" s="6">
        <v>8.9</v>
      </c>
      <c r="E8" s="6">
        <v>27.4</v>
      </c>
      <c r="F8" s="6">
        <v>2.6</v>
      </c>
      <c r="G8" s="6">
        <v>7.6</v>
      </c>
      <c r="H8" s="6">
        <v>2.9</v>
      </c>
      <c r="I8" s="6">
        <v>49</v>
      </c>
      <c r="J8" s="6">
        <v>48</v>
      </c>
      <c r="K8" s="6">
        <v>291</v>
      </c>
      <c r="L8" s="6">
        <v>1.5</v>
      </c>
      <c r="M8" s="6">
        <v>1</v>
      </c>
      <c r="N8" s="6">
        <v>1.3</v>
      </c>
      <c r="O8" s="6">
        <v>172</v>
      </c>
    </row>
    <row r="9" spans="1:16" x14ac:dyDescent="0.3">
      <c r="A9" s="4" t="s">
        <v>22</v>
      </c>
      <c r="B9" s="5" t="s">
        <v>18</v>
      </c>
      <c r="C9" s="6">
        <v>81</v>
      </c>
      <c r="D9" s="6">
        <v>5.4</v>
      </c>
      <c r="E9" s="6">
        <v>14.5</v>
      </c>
      <c r="F9" s="6">
        <v>0.4</v>
      </c>
      <c r="G9" s="6">
        <v>5.7</v>
      </c>
      <c r="H9" s="6">
        <v>1.5</v>
      </c>
      <c r="I9" s="6">
        <v>25</v>
      </c>
      <c r="J9" s="6">
        <v>33</v>
      </c>
      <c r="K9" s="6">
        <v>244</v>
      </c>
      <c r="L9" s="6">
        <v>1.2</v>
      </c>
      <c r="M9" s="6">
        <v>38</v>
      </c>
      <c r="N9" s="6">
        <v>40</v>
      </c>
      <c r="O9" s="6">
        <v>65</v>
      </c>
    </row>
    <row r="10" spans="1:16" ht="27" x14ac:dyDescent="0.3">
      <c r="A10" s="4" t="s">
        <v>23</v>
      </c>
      <c r="B10" s="5" t="s">
        <v>18</v>
      </c>
      <c r="C10" s="6">
        <v>167</v>
      </c>
      <c r="D10" s="6">
        <v>13</v>
      </c>
      <c r="E10" s="6">
        <v>25</v>
      </c>
      <c r="F10" s="6">
        <v>1.5</v>
      </c>
      <c r="G10" s="6">
        <v>8</v>
      </c>
      <c r="H10" s="6">
        <v>4.72</v>
      </c>
      <c r="I10" s="6">
        <v>25</v>
      </c>
      <c r="J10" s="6">
        <v>45</v>
      </c>
      <c r="K10" s="6">
        <v>370</v>
      </c>
      <c r="L10" s="6">
        <v>2</v>
      </c>
      <c r="M10" s="6">
        <v>0</v>
      </c>
      <c r="N10" s="6">
        <v>2</v>
      </c>
      <c r="O10" s="6">
        <v>180</v>
      </c>
    </row>
    <row r="11" spans="1:16" x14ac:dyDescent="0.3">
      <c r="A11" s="4" t="s">
        <v>24</v>
      </c>
      <c r="B11" s="5" t="s">
        <v>18</v>
      </c>
      <c r="C11" s="6">
        <v>40</v>
      </c>
      <c r="D11" s="6">
        <v>1.5</v>
      </c>
      <c r="E11" s="6">
        <v>8</v>
      </c>
      <c r="F11" s="6">
        <v>0.3</v>
      </c>
      <c r="G11" s="6">
        <v>1.5</v>
      </c>
      <c r="H11" s="6">
        <v>0.5</v>
      </c>
      <c r="I11" s="6">
        <v>15</v>
      </c>
      <c r="J11" s="6">
        <v>10</v>
      </c>
      <c r="K11" s="6">
        <v>220</v>
      </c>
      <c r="L11" s="6">
        <v>0.2</v>
      </c>
      <c r="M11" s="6">
        <v>20</v>
      </c>
      <c r="N11" s="6">
        <v>10</v>
      </c>
      <c r="O11" s="6">
        <v>15</v>
      </c>
    </row>
    <row r="12" spans="1:16" x14ac:dyDescent="0.3">
      <c r="A12" s="4" t="s">
        <v>25</v>
      </c>
      <c r="B12" s="5" t="s">
        <v>18</v>
      </c>
      <c r="C12" s="6">
        <v>884</v>
      </c>
      <c r="D12" s="6">
        <v>0</v>
      </c>
      <c r="E12" s="6">
        <v>0</v>
      </c>
      <c r="F12" s="6">
        <v>100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6" x14ac:dyDescent="0.3">
      <c r="A13" s="4" t="s">
        <v>26</v>
      </c>
      <c r="B13" s="5" t="s">
        <v>18</v>
      </c>
      <c r="C13" s="6">
        <v>884</v>
      </c>
      <c r="D13" s="6">
        <v>0</v>
      </c>
      <c r="E13" s="6">
        <v>0</v>
      </c>
      <c r="F13" s="6">
        <v>100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6" x14ac:dyDescent="0.3">
      <c r="A14" s="4" t="s">
        <v>27</v>
      </c>
      <c r="B14" s="5" t="s">
        <v>28</v>
      </c>
      <c r="C14" s="6">
        <v>4.5</v>
      </c>
      <c r="D14" s="6">
        <v>0.19</v>
      </c>
      <c r="E14" s="6">
        <v>1</v>
      </c>
      <c r="F14" s="6">
        <v>0.02</v>
      </c>
      <c r="G14" s="6">
        <v>0</v>
      </c>
      <c r="H14" s="6">
        <v>0.05</v>
      </c>
      <c r="I14" s="6">
        <v>5</v>
      </c>
      <c r="J14" s="6">
        <v>0</v>
      </c>
      <c r="K14" s="6">
        <v>12</v>
      </c>
      <c r="L14" s="6">
        <v>0</v>
      </c>
      <c r="M14" s="6">
        <v>0</v>
      </c>
      <c r="N14" s="6">
        <v>0</v>
      </c>
      <c r="O14" s="6">
        <v>0</v>
      </c>
    </row>
    <row r="15" spans="1:16" ht="27" x14ac:dyDescent="0.3">
      <c r="A15" s="4" t="s">
        <v>29</v>
      </c>
      <c r="B15" s="5" t="s">
        <v>18</v>
      </c>
      <c r="C15" s="6">
        <v>165</v>
      </c>
      <c r="D15" s="6">
        <v>26</v>
      </c>
      <c r="E15" s="6">
        <v>4</v>
      </c>
      <c r="F15" s="6">
        <v>4</v>
      </c>
      <c r="G15" s="6">
        <v>1</v>
      </c>
      <c r="H15" s="6">
        <v>3.5</v>
      </c>
      <c r="I15" s="6">
        <v>20</v>
      </c>
      <c r="J15" s="6">
        <v>25</v>
      </c>
      <c r="K15" s="6">
        <v>90</v>
      </c>
      <c r="L15" s="6">
        <v>1.2</v>
      </c>
      <c r="M15" s="6">
        <v>0</v>
      </c>
      <c r="N15" s="6">
        <v>0</v>
      </c>
      <c r="O15" s="6">
        <v>5</v>
      </c>
    </row>
    <row r="16" spans="1:16" x14ac:dyDescent="0.3">
      <c r="A16" s="4" t="s">
        <v>30</v>
      </c>
      <c r="B16" s="5" t="s">
        <v>18</v>
      </c>
      <c r="C16" s="6">
        <v>333</v>
      </c>
      <c r="D16" s="6">
        <v>8.9</v>
      </c>
      <c r="E16" s="6">
        <v>56</v>
      </c>
      <c r="F16" s="6">
        <v>7.8</v>
      </c>
      <c r="G16" s="6">
        <v>2.5</v>
      </c>
      <c r="H16" s="6">
        <v>2.6</v>
      </c>
      <c r="I16" s="6">
        <v>80</v>
      </c>
      <c r="J16" s="6">
        <v>20</v>
      </c>
      <c r="K16" s="6">
        <v>100</v>
      </c>
      <c r="L16" s="6">
        <v>0.6</v>
      </c>
      <c r="M16" s="6">
        <v>0</v>
      </c>
      <c r="N16" s="6">
        <v>0</v>
      </c>
      <c r="O16" s="6">
        <v>100</v>
      </c>
    </row>
    <row r="17" spans="1:15" x14ac:dyDescent="0.3">
      <c r="A17" s="4" t="s">
        <v>31</v>
      </c>
      <c r="B17" s="5" t="s">
        <v>18</v>
      </c>
      <c r="C17" s="6">
        <v>25</v>
      </c>
      <c r="D17" s="6">
        <v>1</v>
      </c>
      <c r="E17" s="6">
        <v>5.75</v>
      </c>
      <c r="F17" s="6">
        <v>0</v>
      </c>
      <c r="G17" s="6">
        <v>1.5</v>
      </c>
      <c r="H17" s="6">
        <v>0.4</v>
      </c>
      <c r="I17" s="6">
        <v>30</v>
      </c>
      <c r="J17" s="6">
        <v>10</v>
      </c>
      <c r="K17" s="6">
        <v>180</v>
      </c>
      <c r="L17" s="6">
        <v>0.2</v>
      </c>
      <c r="M17" s="6">
        <v>80</v>
      </c>
      <c r="N17" s="6">
        <v>25</v>
      </c>
      <c r="O17" s="6">
        <v>20</v>
      </c>
    </row>
    <row r="18" spans="1:15" ht="27" x14ac:dyDescent="0.3">
      <c r="A18" s="4" t="s">
        <v>32</v>
      </c>
      <c r="B18" s="5" t="s">
        <v>18</v>
      </c>
      <c r="C18" s="6">
        <v>165</v>
      </c>
      <c r="D18" s="6">
        <v>1.8</v>
      </c>
      <c r="E18" s="6">
        <v>8.1999999999999993</v>
      </c>
      <c r="F18" s="6">
        <v>15.3</v>
      </c>
      <c r="G18" s="6">
        <v>3.5</v>
      </c>
      <c r="H18" s="6">
        <v>0.6</v>
      </c>
      <c r="I18" s="6">
        <v>15</v>
      </c>
      <c r="J18" s="6">
        <v>20</v>
      </c>
      <c r="K18" s="6">
        <v>290</v>
      </c>
      <c r="L18" s="6">
        <v>0.5</v>
      </c>
      <c r="M18" s="6">
        <v>60</v>
      </c>
      <c r="N18" s="6">
        <v>7</v>
      </c>
      <c r="O18" s="6">
        <v>18</v>
      </c>
    </row>
    <row r="19" spans="1:15" x14ac:dyDescent="0.3">
      <c r="A19" s="4" t="s">
        <v>33</v>
      </c>
      <c r="B19" s="5" t="s">
        <v>18</v>
      </c>
      <c r="C19" s="6">
        <v>143</v>
      </c>
      <c r="D19" s="6">
        <v>15.5</v>
      </c>
      <c r="E19" s="6">
        <v>2.8</v>
      </c>
      <c r="F19" s="6">
        <v>8.6999999999999993</v>
      </c>
      <c r="G19" s="6">
        <v>1.1000000000000001</v>
      </c>
      <c r="H19" s="6">
        <v>2.7</v>
      </c>
      <c r="I19" s="6">
        <v>110</v>
      </c>
      <c r="J19" s="6">
        <v>22</v>
      </c>
      <c r="K19" s="6">
        <v>165</v>
      </c>
      <c r="L19" s="6">
        <v>1.1000000000000001</v>
      </c>
      <c r="M19" s="6">
        <v>0</v>
      </c>
      <c r="N19" s="6">
        <v>0</v>
      </c>
      <c r="O19" s="6">
        <v>11</v>
      </c>
    </row>
    <row r="20" spans="1:15" x14ac:dyDescent="0.3">
      <c r="A20" s="4" t="s">
        <v>34</v>
      </c>
      <c r="B20" s="5" t="s">
        <v>18</v>
      </c>
      <c r="C20" s="6">
        <v>95</v>
      </c>
      <c r="D20" s="6">
        <v>1.7</v>
      </c>
      <c r="E20" s="6">
        <v>23.2</v>
      </c>
      <c r="F20" s="6">
        <v>0.6</v>
      </c>
      <c r="G20" s="6">
        <v>1.5</v>
      </c>
      <c r="H20" s="6">
        <v>0.6</v>
      </c>
      <c r="I20" s="6">
        <v>24</v>
      </c>
      <c r="J20" s="6">
        <v>29</v>
      </c>
      <c r="K20" s="6">
        <v>448</v>
      </c>
      <c r="L20" s="6">
        <v>0.4</v>
      </c>
      <c r="M20" s="6">
        <v>5</v>
      </c>
      <c r="N20" s="6">
        <v>13.7</v>
      </c>
      <c r="O20" s="6">
        <v>24</v>
      </c>
    </row>
    <row r="21" spans="1:15" x14ac:dyDescent="0.3">
      <c r="A21" s="4" t="s">
        <v>35</v>
      </c>
      <c r="B21" s="5" t="s">
        <v>18</v>
      </c>
      <c r="C21" s="6">
        <v>18</v>
      </c>
      <c r="D21" s="6">
        <v>1.4</v>
      </c>
      <c r="E21" s="6">
        <v>3.5</v>
      </c>
      <c r="F21" s="6">
        <v>0.2</v>
      </c>
      <c r="G21" s="6">
        <v>1.8</v>
      </c>
      <c r="H21" s="6">
        <v>0.5</v>
      </c>
      <c r="I21" s="6">
        <v>30</v>
      </c>
      <c r="J21" s="6">
        <v>10</v>
      </c>
      <c r="K21" s="6">
        <v>200</v>
      </c>
      <c r="L21" s="6">
        <v>0.2</v>
      </c>
      <c r="M21" s="6">
        <v>180</v>
      </c>
      <c r="N21" s="6">
        <v>15</v>
      </c>
      <c r="O21" s="6">
        <v>50</v>
      </c>
    </row>
    <row r="22" spans="1:15" x14ac:dyDescent="0.3">
      <c r="A22" s="4" t="s">
        <v>36</v>
      </c>
      <c r="B22" s="5" t="s">
        <v>18</v>
      </c>
      <c r="C22" s="6">
        <v>35</v>
      </c>
      <c r="D22" s="6">
        <v>0.8</v>
      </c>
      <c r="E22" s="6">
        <v>8</v>
      </c>
      <c r="F22" s="6">
        <v>0.1</v>
      </c>
      <c r="G22" s="6">
        <v>1.7</v>
      </c>
      <c r="H22" s="6">
        <v>0.3</v>
      </c>
      <c r="I22" s="6">
        <v>25</v>
      </c>
      <c r="J22" s="6">
        <v>10</v>
      </c>
      <c r="K22" s="6">
        <v>250</v>
      </c>
      <c r="L22" s="6">
        <v>0.2</v>
      </c>
      <c r="M22" s="6">
        <v>420</v>
      </c>
      <c r="N22" s="6">
        <v>13</v>
      </c>
      <c r="O22" s="6">
        <v>15</v>
      </c>
    </row>
    <row r="23" spans="1:15" x14ac:dyDescent="0.3">
      <c r="A23" s="4" t="s">
        <v>37</v>
      </c>
      <c r="B23" s="5" t="s">
        <v>18</v>
      </c>
      <c r="C23" s="6">
        <v>23</v>
      </c>
      <c r="D23" s="6">
        <v>2.1</v>
      </c>
      <c r="E23" s="6">
        <v>3.7</v>
      </c>
      <c r="F23" s="6">
        <v>0.5</v>
      </c>
      <c r="G23" s="6">
        <v>2.8</v>
      </c>
      <c r="H23" s="6">
        <v>1.8</v>
      </c>
      <c r="I23" s="6">
        <v>67</v>
      </c>
      <c r="J23" s="6">
        <v>26</v>
      </c>
      <c r="K23" s="6">
        <v>521</v>
      </c>
      <c r="L23" s="6">
        <v>0.5</v>
      </c>
      <c r="M23" s="6">
        <v>337</v>
      </c>
      <c r="N23" s="6">
        <v>27</v>
      </c>
      <c r="O23" s="6">
        <v>62</v>
      </c>
    </row>
    <row r="24" spans="1:15" x14ac:dyDescent="0.3">
      <c r="A24" s="4" t="s">
        <v>38</v>
      </c>
      <c r="B24" s="5" t="s">
        <v>18</v>
      </c>
      <c r="C24" s="6">
        <v>32</v>
      </c>
      <c r="D24" s="6">
        <v>1.8</v>
      </c>
      <c r="E24" s="6">
        <v>7.3</v>
      </c>
      <c r="F24" s="6">
        <v>0.2</v>
      </c>
      <c r="G24" s="6">
        <v>2.6</v>
      </c>
      <c r="H24" s="6">
        <v>1.5</v>
      </c>
      <c r="I24" s="6">
        <v>72</v>
      </c>
      <c r="J24" s="6">
        <v>20</v>
      </c>
      <c r="K24" s="6">
        <v>276</v>
      </c>
      <c r="L24" s="6">
        <v>0.4</v>
      </c>
      <c r="M24" s="6">
        <v>50</v>
      </c>
      <c r="N24" s="6">
        <v>18</v>
      </c>
      <c r="O24" s="6">
        <v>64</v>
      </c>
    </row>
    <row r="25" spans="1:15" x14ac:dyDescent="0.3">
      <c r="A25" s="4" t="s">
        <v>39</v>
      </c>
      <c r="B25" s="5" t="s">
        <v>18</v>
      </c>
      <c r="C25" s="6">
        <v>389</v>
      </c>
      <c r="D25" s="6">
        <v>16.899999999999999</v>
      </c>
      <c r="E25" s="6">
        <v>66.3</v>
      </c>
      <c r="F25" s="6">
        <v>6.9</v>
      </c>
      <c r="G25" s="6">
        <v>10.6</v>
      </c>
      <c r="H25" s="6">
        <v>4.7</v>
      </c>
      <c r="I25" s="6">
        <v>54</v>
      </c>
      <c r="J25" s="6">
        <v>138</v>
      </c>
      <c r="K25" s="6">
        <v>429</v>
      </c>
      <c r="L25" s="6">
        <v>3.97</v>
      </c>
      <c r="M25" s="6">
        <v>0</v>
      </c>
      <c r="N25" s="6">
        <v>0</v>
      </c>
      <c r="O25" s="6">
        <v>56</v>
      </c>
    </row>
    <row r="26" spans="1:15" x14ac:dyDescent="0.3">
      <c r="A26" s="4" t="s">
        <v>40</v>
      </c>
      <c r="B26" s="5" t="s">
        <v>18</v>
      </c>
      <c r="C26" s="6">
        <v>364</v>
      </c>
      <c r="D26" s="6">
        <v>10.3</v>
      </c>
      <c r="E26" s="6">
        <v>76.3</v>
      </c>
      <c r="F26" s="6">
        <v>1</v>
      </c>
      <c r="G26" s="6">
        <v>2.7</v>
      </c>
      <c r="H26" s="6">
        <v>4.5999999999999996</v>
      </c>
      <c r="I26" s="6">
        <v>15</v>
      </c>
      <c r="J26" s="6">
        <v>22</v>
      </c>
      <c r="K26" s="6">
        <v>107</v>
      </c>
      <c r="L26" s="6">
        <v>0.7</v>
      </c>
      <c r="M26" s="6">
        <v>0</v>
      </c>
      <c r="N26" s="6">
        <v>0</v>
      </c>
      <c r="O26" s="6">
        <v>183</v>
      </c>
    </row>
    <row r="27" spans="1:15" x14ac:dyDescent="0.3">
      <c r="A27" s="4" t="s">
        <v>41</v>
      </c>
      <c r="B27" s="5" t="s">
        <v>18</v>
      </c>
      <c r="C27" s="6">
        <v>486</v>
      </c>
      <c r="D27" s="6">
        <v>16.5</v>
      </c>
      <c r="E27" s="6">
        <v>42.1</v>
      </c>
      <c r="F27" s="6">
        <v>30.7</v>
      </c>
      <c r="G27" s="6">
        <v>34.4</v>
      </c>
      <c r="H27" s="6">
        <v>7.7</v>
      </c>
      <c r="I27" s="6">
        <v>631</v>
      </c>
      <c r="J27" s="6">
        <v>335</v>
      </c>
      <c r="K27" s="6">
        <v>407</v>
      </c>
      <c r="L27" s="6">
        <v>4.5999999999999996</v>
      </c>
      <c r="M27" s="6">
        <v>0</v>
      </c>
      <c r="N27" s="6">
        <v>0</v>
      </c>
      <c r="O27" s="6">
        <v>49</v>
      </c>
    </row>
    <row r="28" spans="1:15" x14ac:dyDescent="0.3">
      <c r="A28" s="4" t="s">
        <v>42</v>
      </c>
      <c r="B28" s="5" t="s">
        <v>18</v>
      </c>
      <c r="C28" s="6">
        <v>247</v>
      </c>
      <c r="D28" s="6">
        <v>4</v>
      </c>
      <c r="E28" s="6">
        <v>81</v>
      </c>
      <c r="F28" s="6">
        <v>1.2</v>
      </c>
      <c r="G28" s="6">
        <v>53</v>
      </c>
      <c r="H28" s="6">
        <v>8.3000000000000007</v>
      </c>
      <c r="I28" s="6">
        <v>1002</v>
      </c>
      <c r="J28" s="6">
        <v>60</v>
      </c>
      <c r="K28" s="6">
        <v>431</v>
      </c>
      <c r="L28" s="6">
        <v>1.8</v>
      </c>
      <c r="M28" s="6">
        <v>1</v>
      </c>
      <c r="N28" s="6">
        <v>4</v>
      </c>
      <c r="O28" s="6">
        <v>6</v>
      </c>
    </row>
    <row r="29" spans="1:15" x14ac:dyDescent="0.3">
      <c r="A29" s="4" t="s">
        <v>43</v>
      </c>
      <c r="B29" s="5" t="s">
        <v>18</v>
      </c>
      <c r="C29" s="6">
        <v>274</v>
      </c>
      <c r="D29" s="6">
        <v>6</v>
      </c>
      <c r="E29" s="6">
        <v>65.5</v>
      </c>
      <c r="F29" s="6">
        <v>13</v>
      </c>
      <c r="G29" s="6">
        <v>33.9</v>
      </c>
      <c r="H29" s="6">
        <v>11.8</v>
      </c>
      <c r="I29" s="6">
        <v>632</v>
      </c>
      <c r="J29" s="6">
        <v>259</v>
      </c>
      <c r="K29" s="6">
        <v>1020</v>
      </c>
      <c r="L29" s="6">
        <v>2.2999999999999998</v>
      </c>
      <c r="M29" s="6">
        <v>6</v>
      </c>
      <c r="N29" s="6">
        <v>0</v>
      </c>
      <c r="O29" s="6">
        <v>0</v>
      </c>
    </row>
    <row r="30" spans="1:15" x14ac:dyDescent="0.3">
      <c r="A30" s="4" t="s">
        <v>44</v>
      </c>
      <c r="B30" s="5" t="s">
        <v>18</v>
      </c>
      <c r="C30" s="6">
        <v>260</v>
      </c>
      <c r="D30" s="6">
        <v>0</v>
      </c>
      <c r="E30" s="6">
        <v>67</v>
      </c>
      <c r="F30" s="6">
        <v>0</v>
      </c>
      <c r="G30" s="6">
        <v>0</v>
      </c>
      <c r="H30" s="6">
        <v>0.11</v>
      </c>
      <c r="I30" s="6">
        <v>102</v>
      </c>
      <c r="J30" s="6">
        <v>21</v>
      </c>
      <c r="K30" s="6">
        <v>212</v>
      </c>
      <c r="L30" s="6">
        <v>1.5</v>
      </c>
      <c r="M30" s="6">
        <v>0</v>
      </c>
      <c r="N30" s="6">
        <v>0</v>
      </c>
      <c r="O30" s="6">
        <v>0</v>
      </c>
    </row>
    <row r="31" spans="1:15" x14ac:dyDescent="0.3">
      <c r="A31" s="4" t="s">
        <v>45</v>
      </c>
      <c r="B31" s="5" t="s">
        <v>18</v>
      </c>
      <c r="C31" s="6">
        <v>862</v>
      </c>
      <c r="D31" s="6">
        <v>0</v>
      </c>
      <c r="E31" s="6">
        <v>0</v>
      </c>
      <c r="F31" s="6">
        <v>100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</row>
    <row r="32" spans="1:15" x14ac:dyDescent="0.3">
      <c r="A32" s="4" t="s">
        <v>46</v>
      </c>
      <c r="B32" s="5" t="s">
        <v>18</v>
      </c>
      <c r="C32" s="6">
        <v>380</v>
      </c>
      <c r="D32" s="6">
        <v>0</v>
      </c>
      <c r="E32" s="6">
        <v>98</v>
      </c>
      <c r="F32" s="6">
        <v>0</v>
      </c>
      <c r="G32" s="6">
        <v>0</v>
      </c>
      <c r="H32" s="6">
        <v>1.9</v>
      </c>
      <c r="I32" s="6">
        <v>83</v>
      </c>
      <c r="J32" s="6">
        <v>11</v>
      </c>
      <c r="K32" s="6">
        <v>133</v>
      </c>
      <c r="L32" s="6">
        <v>0.2</v>
      </c>
      <c r="M32" s="6">
        <v>0</v>
      </c>
      <c r="N32" s="6">
        <v>0</v>
      </c>
      <c r="O32" s="6">
        <v>0</v>
      </c>
    </row>
    <row r="33" spans="1:15" x14ac:dyDescent="0.3">
      <c r="A33" s="4" t="s">
        <v>47</v>
      </c>
      <c r="B33" s="5" t="s">
        <v>18</v>
      </c>
      <c r="C33" s="6">
        <v>288</v>
      </c>
      <c r="D33" s="6">
        <v>0.1</v>
      </c>
      <c r="E33" s="6">
        <v>12.7</v>
      </c>
      <c r="F33" s="6">
        <v>0.1</v>
      </c>
      <c r="G33" s="6">
        <v>0</v>
      </c>
      <c r="H33" s="6">
        <v>0.1</v>
      </c>
      <c r="I33" s="6">
        <v>11</v>
      </c>
      <c r="J33" s="6">
        <v>12</v>
      </c>
      <c r="K33" s="6">
        <v>148</v>
      </c>
      <c r="L33" s="6">
        <v>0.1</v>
      </c>
      <c r="M33" s="6">
        <v>0</v>
      </c>
      <c r="N33" s="6">
        <v>0</v>
      </c>
      <c r="O33" s="6">
        <v>0</v>
      </c>
    </row>
    <row r="34" spans="1:15" x14ac:dyDescent="0.3">
      <c r="A34" s="4" t="s">
        <v>48</v>
      </c>
      <c r="B34" s="5" t="s">
        <v>18</v>
      </c>
      <c r="C34" s="6">
        <v>33</v>
      </c>
      <c r="D34" s="6">
        <v>2.9</v>
      </c>
      <c r="E34" s="6">
        <v>1.25</v>
      </c>
      <c r="F34" s="6">
        <v>1.7</v>
      </c>
      <c r="G34" s="6">
        <v>0.4</v>
      </c>
      <c r="H34" s="6">
        <v>0.46</v>
      </c>
      <c r="I34" s="6">
        <v>188</v>
      </c>
      <c r="J34" s="6">
        <v>12.5</v>
      </c>
      <c r="K34" s="6">
        <v>125</v>
      </c>
      <c r="L34" s="6">
        <v>0.2</v>
      </c>
      <c r="M34" s="6">
        <v>0</v>
      </c>
      <c r="N34" s="6">
        <v>0</v>
      </c>
      <c r="O34" s="6">
        <v>0</v>
      </c>
    </row>
    <row r="35" spans="1:15" x14ac:dyDescent="0.3">
      <c r="A35" s="4" t="s">
        <v>49</v>
      </c>
      <c r="B35" s="5" t="s">
        <v>18</v>
      </c>
      <c r="C35" s="6">
        <v>57</v>
      </c>
      <c r="D35" s="6">
        <v>0.7</v>
      </c>
      <c r="E35" s="6">
        <v>14.5</v>
      </c>
      <c r="F35" s="6">
        <v>0.3</v>
      </c>
      <c r="G35" s="6">
        <v>2.4</v>
      </c>
      <c r="H35" s="6">
        <v>0.28000000000000003</v>
      </c>
      <c r="I35" s="6">
        <v>6</v>
      </c>
      <c r="J35" s="6">
        <v>6</v>
      </c>
      <c r="K35" s="6">
        <v>77</v>
      </c>
      <c r="L35" s="6">
        <v>0.1</v>
      </c>
      <c r="M35" s="6">
        <v>2</v>
      </c>
      <c r="N35" s="6">
        <v>9.6999999999999993</v>
      </c>
      <c r="O35" s="6">
        <v>6</v>
      </c>
    </row>
    <row r="36" spans="1:15" x14ac:dyDescent="0.3">
      <c r="A36" s="4" t="s">
        <v>50</v>
      </c>
      <c r="B36" s="5" t="s">
        <v>18</v>
      </c>
      <c r="C36" s="6">
        <v>559</v>
      </c>
      <c r="D36" s="6">
        <v>30.2</v>
      </c>
      <c r="E36" s="6">
        <v>10.7</v>
      </c>
      <c r="F36" s="6">
        <v>49</v>
      </c>
      <c r="G36" s="6">
        <v>6</v>
      </c>
      <c r="H36" s="6">
        <v>8.8000000000000007</v>
      </c>
      <c r="I36" s="6">
        <v>46</v>
      </c>
      <c r="J36" s="6">
        <v>592</v>
      </c>
      <c r="K36" s="6">
        <v>809</v>
      </c>
      <c r="L36" s="6">
        <v>7.8</v>
      </c>
      <c r="M36" s="6">
        <v>0</v>
      </c>
      <c r="N36" s="6">
        <v>0</v>
      </c>
      <c r="O36" s="6">
        <v>58</v>
      </c>
    </row>
    <row r="37" spans="1:15" x14ac:dyDescent="0.3">
      <c r="A37" s="4" t="s">
        <v>51</v>
      </c>
      <c r="B37" s="5" t="s">
        <v>18</v>
      </c>
      <c r="C37" s="6">
        <v>584</v>
      </c>
      <c r="D37" s="6">
        <v>20.8</v>
      </c>
      <c r="E37" s="6">
        <v>20</v>
      </c>
      <c r="F37" s="6">
        <v>51.5</v>
      </c>
      <c r="G37" s="6">
        <v>8.6</v>
      </c>
      <c r="H37" s="6">
        <v>5.25</v>
      </c>
      <c r="I37" s="6">
        <v>78</v>
      </c>
      <c r="J37" s="6">
        <v>325</v>
      </c>
      <c r="K37" s="6">
        <v>645</v>
      </c>
      <c r="L37" s="6">
        <v>5</v>
      </c>
      <c r="M37" s="6">
        <v>0</v>
      </c>
      <c r="N37" s="6">
        <v>1.4</v>
      </c>
      <c r="O37" s="6">
        <v>227</v>
      </c>
    </row>
    <row r="38" spans="1:15" x14ac:dyDescent="0.3">
      <c r="A38" s="4" t="s">
        <v>52</v>
      </c>
      <c r="B38" s="5" t="s">
        <v>18</v>
      </c>
      <c r="C38" s="6">
        <v>534</v>
      </c>
      <c r="D38" s="6">
        <v>18.3</v>
      </c>
      <c r="E38" s="6">
        <v>28.9</v>
      </c>
      <c r="F38" s="6">
        <v>42.2</v>
      </c>
      <c r="G38" s="6">
        <v>27.3</v>
      </c>
      <c r="H38" s="6">
        <v>5.7</v>
      </c>
      <c r="I38" s="6">
        <v>255</v>
      </c>
      <c r="J38" s="6">
        <v>392</v>
      </c>
      <c r="K38" s="6">
        <v>813</v>
      </c>
      <c r="L38" s="6">
        <v>4.3</v>
      </c>
      <c r="M38" s="6">
        <v>0</v>
      </c>
      <c r="N38" s="6">
        <v>0</v>
      </c>
      <c r="O38" s="6">
        <v>0</v>
      </c>
    </row>
  </sheetData>
  <autoFilter ref="A4:O38" xr:uid="{00000000-0009-0000-0000-000000000000}"/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16" customWidth="1"/>
    <col min="3" max="3" width="12" customWidth="1"/>
    <col min="4" max="16" width="11" customWidth="1"/>
  </cols>
  <sheetData>
    <row r="1" spans="1:16" ht="21" x14ac:dyDescent="0.4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33.75" customHeight="1" x14ac:dyDescent="0.3">
      <c r="A4" s="3" t="s">
        <v>55</v>
      </c>
      <c r="B4" s="3" t="s">
        <v>56</v>
      </c>
      <c r="C4" s="3" t="s">
        <v>57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x14ac:dyDescent="0.3">
      <c r="A5" s="4" t="s">
        <v>17</v>
      </c>
      <c r="B5" s="5" t="s">
        <v>18</v>
      </c>
      <c r="C5" s="7">
        <v>1</v>
      </c>
      <c r="D5" s="8">
        <f>IFERROR(INDEX('Ingredient Database'!$C$5:$C$38,MATCH($A5,'Ingredient Database'!$A$5:$A$38,0))*$C5,"check name")</f>
        <v>123</v>
      </c>
      <c r="E5" s="8">
        <f>IFERROR(INDEX('Ingredient Database'!$D$5:$D$38,MATCH($A5,'Ingredient Database'!$A$5:$A$38,0))*$C5,"check name")</f>
        <v>2.2999999999999998</v>
      </c>
      <c r="F5" s="8">
        <f>IFERROR(INDEX('Ingredient Database'!$E$5:$E$38,MATCH($A5,'Ingredient Database'!$A$5:$A$38,0))*$C5,"check name")</f>
        <v>28.2</v>
      </c>
      <c r="G5" s="8">
        <f>IFERROR(INDEX('Ingredient Database'!$F$5:$F$38,MATCH($A5,'Ingredient Database'!$A$5:$A$38,0))*$C5,"check name")</f>
        <v>0.4</v>
      </c>
      <c r="H5" s="8">
        <f>IFERROR(INDEX('Ingredient Database'!$G$5:$G$38,MATCH($A5,'Ingredient Database'!$A$5:$A$38,0))*$C5,"check name")</f>
        <v>3.8</v>
      </c>
      <c r="I5" s="8">
        <f>IFERROR(INDEX('Ingredient Database'!$H$5:$H$38,MATCH($A5,'Ingredient Database'!$A$5:$A$38,0))*$C5,"check name")</f>
        <v>1.3</v>
      </c>
      <c r="J5" s="8">
        <f>IFERROR(INDEX('Ingredient Database'!$I$5:$I$38,MATCH($A5,'Ingredient Database'!$A$5:$A$38,0))*$C5,"check name")</f>
        <v>11</v>
      </c>
      <c r="K5" s="8">
        <f>IFERROR(INDEX('Ingredient Database'!$J$5:$J$38,MATCH($A5,'Ingredient Database'!$A$5:$A$38,0))*$C5,"check name")</f>
        <v>22</v>
      </c>
      <c r="L5" s="8">
        <f>IFERROR(INDEX('Ingredient Database'!$K$5:$K$38,MATCH($A5,'Ingredient Database'!$A$5:$A$38,0))*$C5,"check name")</f>
        <v>93</v>
      </c>
      <c r="M5" s="8">
        <f>IFERROR(INDEX('Ingredient Database'!$L$5:$L$38,MATCH($A5,'Ingredient Database'!$A$5:$A$38,0))*$C5,"check name")</f>
        <v>1.3</v>
      </c>
      <c r="N5" s="8">
        <f>IFERROR(INDEX('Ingredient Database'!$M$5:$M$38,MATCH($A5,'Ingredient Database'!$A$5:$A$38,0))*$C5,"check name")</f>
        <v>0</v>
      </c>
      <c r="O5" s="8">
        <f>IFERROR(INDEX('Ingredient Database'!$N$5:$N$38,MATCH($A5,'Ingredient Database'!$A$5:$A$38,0))*$C5,"check name")</f>
        <v>0</v>
      </c>
      <c r="P5" s="8">
        <f>IFERROR(INDEX('Ingredient Database'!$O$5:$O$38,MATCH($A5,'Ingredient Database'!$A$5:$A$38,0))*$C5,"check name")</f>
        <v>16</v>
      </c>
    </row>
    <row r="6" spans="1:16" ht="27" x14ac:dyDescent="0.3">
      <c r="A6" s="4" t="s">
        <v>32</v>
      </c>
      <c r="B6" s="5" t="s">
        <v>58</v>
      </c>
      <c r="C6" s="7">
        <v>0.85</v>
      </c>
      <c r="D6" s="8">
        <f>IFERROR(INDEX('Ingredient Database'!$C$5:$C$38,MATCH($A6,'Ingredient Database'!$A$5:$A$38,0))*$C6,"check name")</f>
        <v>140.25</v>
      </c>
      <c r="E6" s="8">
        <f>IFERROR(INDEX('Ingredient Database'!$D$5:$D$38,MATCH($A6,'Ingredient Database'!$A$5:$A$38,0))*$C6,"check name")</f>
        <v>1.53</v>
      </c>
      <c r="F6" s="8">
        <f>IFERROR(INDEX('Ingredient Database'!$E$5:$E$38,MATCH($A6,'Ingredient Database'!$A$5:$A$38,0))*$C6,"check name")</f>
        <v>6.9699999999999989</v>
      </c>
      <c r="G6" s="8">
        <f>IFERROR(INDEX('Ingredient Database'!$F$5:$F$38,MATCH($A6,'Ingredient Database'!$A$5:$A$38,0))*$C6,"check name")</f>
        <v>13.005000000000001</v>
      </c>
      <c r="H6" s="8">
        <f>IFERROR(INDEX('Ingredient Database'!$G$5:$G$38,MATCH($A6,'Ingredient Database'!$A$5:$A$38,0))*$C6,"check name")</f>
        <v>2.9750000000000001</v>
      </c>
      <c r="I6" s="8">
        <f>IFERROR(INDEX('Ingredient Database'!$H$5:$H$38,MATCH($A6,'Ingredient Database'!$A$5:$A$38,0))*$C6,"check name")</f>
        <v>0.51</v>
      </c>
      <c r="J6" s="8">
        <f>IFERROR(INDEX('Ingredient Database'!$I$5:$I$38,MATCH($A6,'Ingredient Database'!$A$5:$A$38,0))*$C6,"check name")</f>
        <v>12.75</v>
      </c>
      <c r="K6" s="8">
        <f>IFERROR(INDEX('Ingredient Database'!$J$5:$J$38,MATCH($A6,'Ingredient Database'!$A$5:$A$38,0))*$C6,"check name")</f>
        <v>17</v>
      </c>
      <c r="L6" s="8">
        <f>IFERROR(INDEX('Ingredient Database'!$K$5:$K$38,MATCH($A6,'Ingredient Database'!$A$5:$A$38,0))*$C6,"check name")</f>
        <v>246.5</v>
      </c>
      <c r="M6" s="8">
        <f>IFERROR(INDEX('Ingredient Database'!$L$5:$L$38,MATCH($A6,'Ingredient Database'!$A$5:$A$38,0))*$C6,"check name")</f>
        <v>0.42499999999999999</v>
      </c>
      <c r="N6" s="8">
        <f>IFERROR(INDEX('Ingredient Database'!$M$5:$M$38,MATCH($A6,'Ingredient Database'!$A$5:$A$38,0))*$C6,"check name")</f>
        <v>51</v>
      </c>
      <c r="O6" s="8">
        <f>IFERROR(INDEX('Ingredient Database'!$N$5:$N$38,MATCH($A6,'Ingredient Database'!$A$5:$A$38,0))*$C6,"check name")</f>
        <v>5.95</v>
      </c>
      <c r="P6" s="8">
        <f>IFERROR(INDEX('Ingredient Database'!$O$5:$O$38,MATCH($A6,'Ingredient Database'!$A$5:$A$38,0))*$C6,"check name")</f>
        <v>15.299999999999999</v>
      </c>
    </row>
    <row r="7" spans="1:16" x14ac:dyDescent="0.3">
      <c r="A7" s="4" t="s">
        <v>33</v>
      </c>
      <c r="B7" s="5" t="s">
        <v>59</v>
      </c>
      <c r="C7" s="7">
        <v>0.90700000000000003</v>
      </c>
      <c r="D7" s="8">
        <f>IFERROR(INDEX('Ingredient Database'!$C$5:$C$38,MATCH($A7,'Ingredient Database'!$A$5:$A$38,0))*$C7,"check name")</f>
        <v>129.70099999999999</v>
      </c>
      <c r="E7" s="8">
        <f>IFERROR(INDEX('Ingredient Database'!$D$5:$D$38,MATCH($A7,'Ingredient Database'!$A$5:$A$38,0))*$C7,"check name")</f>
        <v>14.0585</v>
      </c>
      <c r="F7" s="8">
        <f>IFERROR(INDEX('Ingredient Database'!$E$5:$E$38,MATCH($A7,'Ingredient Database'!$A$5:$A$38,0))*$C7,"check name")</f>
        <v>2.5396000000000001</v>
      </c>
      <c r="G7" s="8">
        <f>IFERROR(INDEX('Ingredient Database'!$F$5:$F$38,MATCH($A7,'Ingredient Database'!$A$5:$A$38,0))*$C7,"check name")</f>
        <v>7.8908999999999994</v>
      </c>
      <c r="H7" s="8">
        <f>IFERROR(INDEX('Ingredient Database'!$G$5:$G$38,MATCH($A7,'Ingredient Database'!$A$5:$A$38,0))*$C7,"check name")</f>
        <v>0.99770000000000014</v>
      </c>
      <c r="I7" s="8">
        <f>IFERROR(INDEX('Ingredient Database'!$H$5:$H$38,MATCH($A7,'Ingredient Database'!$A$5:$A$38,0))*$C7,"check name")</f>
        <v>2.4489000000000001</v>
      </c>
      <c r="J7" s="8">
        <f>IFERROR(INDEX('Ingredient Database'!$I$5:$I$38,MATCH($A7,'Ingredient Database'!$A$5:$A$38,0))*$C7,"check name")</f>
        <v>99.77000000000001</v>
      </c>
      <c r="K7" s="8">
        <f>IFERROR(INDEX('Ingredient Database'!$J$5:$J$38,MATCH($A7,'Ingredient Database'!$A$5:$A$38,0))*$C7,"check name")</f>
        <v>19.954000000000001</v>
      </c>
      <c r="L7" s="8">
        <f>IFERROR(INDEX('Ingredient Database'!$K$5:$K$38,MATCH($A7,'Ingredient Database'!$A$5:$A$38,0))*$C7,"check name")</f>
        <v>149.655</v>
      </c>
      <c r="M7" s="8">
        <f>IFERROR(INDEX('Ingredient Database'!$L$5:$L$38,MATCH($A7,'Ingredient Database'!$A$5:$A$38,0))*$C7,"check name")</f>
        <v>0.99770000000000014</v>
      </c>
      <c r="N7" s="8">
        <f>IFERROR(INDEX('Ingredient Database'!$M$5:$M$38,MATCH($A7,'Ingredient Database'!$A$5:$A$38,0))*$C7,"check name")</f>
        <v>0</v>
      </c>
      <c r="O7" s="8">
        <f>IFERROR(INDEX('Ingredient Database'!$N$5:$N$38,MATCH($A7,'Ingredient Database'!$A$5:$A$38,0))*$C7,"check name")</f>
        <v>0</v>
      </c>
      <c r="P7" s="8">
        <f>IFERROR(INDEX('Ingredient Database'!$O$5:$O$38,MATCH($A7,'Ingredient Database'!$A$5:$A$38,0))*$C7,"check name")</f>
        <v>9.9770000000000003</v>
      </c>
    </row>
    <row r="8" spans="1:16" x14ac:dyDescent="0.3">
      <c r="A8" s="4" t="s">
        <v>26</v>
      </c>
      <c r="B8" s="5" t="s">
        <v>60</v>
      </c>
      <c r="C8" s="7">
        <v>4.4999999999999998E-2</v>
      </c>
      <c r="D8" s="8">
        <f>IFERROR(INDEX('Ingredient Database'!$C$5:$C$38,MATCH($A8,'Ingredient Database'!$A$5:$A$38,0))*$C8,"check name")</f>
        <v>39.78</v>
      </c>
      <c r="E8" s="8">
        <f>IFERROR(INDEX('Ingredient Database'!$D$5:$D$38,MATCH($A8,'Ingredient Database'!$A$5:$A$38,0))*$C8,"check name")</f>
        <v>0</v>
      </c>
      <c r="F8" s="8">
        <f>IFERROR(INDEX('Ingredient Database'!$E$5:$E$38,MATCH($A8,'Ingredient Database'!$A$5:$A$38,0))*$C8,"check name")</f>
        <v>0</v>
      </c>
      <c r="G8" s="8">
        <f>IFERROR(INDEX('Ingredient Database'!$F$5:$F$38,MATCH($A8,'Ingredient Database'!$A$5:$A$38,0))*$C8,"check name")</f>
        <v>4.5</v>
      </c>
      <c r="H8" s="8">
        <f>IFERROR(INDEX('Ingredient Database'!$G$5:$G$38,MATCH($A8,'Ingredient Database'!$A$5:$A$38,0))*$C8,"check name")</f>
        <v>0</v>
      </c>
      <c r="I8" s="8">
        <f>IFERROR(INDEX('Ingredient Database'!$H$5:$H$38,MATCH($A8,'Ingredient Database'!$A$5:$A$38,0))*$C8,"check name")</f>
        <v>0</v>
      </c>
      <c r="J8" s="8">
        <f>IFERROR(INDEX('Ingredient Database'!$I$5:$I$38,MATCH($A8,'Ingredient Database'!$A$5:$A$38,0))*$C8,"check name")</f>
        <v>0</v>
      </c>
      <c r="K8" s="8">
        <f>IFERROR(INDEX('Ingredient Database'!$J$5:$J$38,MATCH($A8,'Ingredient Database'!$A$5:$A$38,0))*$C8,"check name")</f>
        <v>0</v>
      </c>
      <c r="L8" s="8">
        <f>IFERROR(INDEX('Ingredient Database'!$K$5:$K$38,MATCH($A8,'Ingredient Database'!$A$5:$A$38,0))*$C8,"check name")</f>
        <v>0</v>
      </c>
      <c r="M8" s="8">
        <f>IFERROR(INDEX('Ingredient Database'!$L$5:$L$38,MATCH($A8,'Ingredient Database'!$A$5:$A$38,0))*$C8,"check name")</f>
        <v>0</v>
      </c>
      <c r="N8" s="8">
        <f>IFERROR(INDEX('Ingredient Database'!$M$5:$M$38,MATCH($A8,'Ingredient Database'!$A$5:$A$38,0))*$C8,"check name")</f>
        <v>0</v>
      </c>
      <c r="O8" s="8">
        <f>IFERROR(INDEX('Ingredient Database'!$N$5:$N$38,MATCH($A8,'Ingredient Database'!$A$5:$A$38,0))*$C8,"check name")</f>
        <v>0</v>
      </c>
      <c r="P8" s="8">
        <f>IFERROR(INDEX('Ingredient Database'!$O$5:$O$38,MATCH($A8,'Ingredient Database'!$A$5:$A$38,0))*$C8,"check name")</f>
        <v>0</v>
      </c>
    </row>
    <row r="9" spans="1:16" x14ac:dyDescent="0.3">
      <c r="A9" s="4" t="s">
        <v>34</v>
      </c>
      <c r="B9" s="5" t="s">
        <v>61</v>
      </c>
      <c r="C9" s="7">
        <v>0.5</v>
      </c>
      <c r="D9" s="8">
        <f>IFERROR(INDEX('Ingredient Database'!$C$5:$C$38,MATCH($A9,'Ingredient Database'!$A$5:$A$38,0))*$C9,"check name")</f>
        <v>47.5</v>
      </c>
      <c r="E9" s="8">
        <f>IFERROR(INDEX('Ingredient Database'!$D$5:$D$38,MATCH($A9,'Ingredient Database'!$A$5:$A$38,0))*$C9,"check name")</f>
        <v>0.85</v>
      </c>
      <c r="F9" s="8">
        <f>IFERROR(INDEX('Ingredient Database'!$E$5:$E$38,MATCH($A9,'Ingredient Database'!$A$5:$A$38,0))*$C9,"check name")</f>
        <v>11.6</v>
      </c>
      <c r="G9" s="8">
        <f>IFERROR(INDEX('Ingredient Database'!$F$5:$F$38,MATCH($A9,'Ingredient Database'!$A$5:$A$38,0))*$C9,"check name")</f>
        <v>0.3</v>
      </c>
      <c r="H9" s="8">
        <f>IFERROR(INDEX('Ingredient Database'!$G$5:$G$38,MATCH($A9,'Ingredient Database'!$A$5:$A$38,0))*$C9,"check name")</f>
        <v>0.75</v>
      </c>
      <c r="I9" s="8">
        <f>IFERROR(INDEX('Ingredient Database'!$H$5:$H$38,MATCH($A9,'Ingredient Database'!$A$5:$A$38,0))*$C9,"check name")</f>
        <v>0.3</v>
      </c>
      <c r="J9" s="8">
        <f>IFERROR(INDEX('Ingredient Database'!$I$5:$I$38,MATCH($A9,'Ingredient Database'!$A$5:$A$38,0))*$C9,"check name")</f>
        <v>12</v>
      </c>
      <c r="K9" s="8">
        <f>IFERROR(INDEX('Ingredient Database'!$J$5:$J$38,MATCH($A9,'Ingredient Database'!$A$5:$A$38,0))*$C9,"check name")</f>
        <v>14.5</v>
      </c>
      <c r="L9" s="8">
        <f>IFERROR(INDEX('Ingredient Database'!$K$5:$K$38,MATCH($A9,'Ingredient Database'!$A$5:$A$38,0))*$C9,"check name")</f>
        <v>224</v>
      </c>
      <c r="M9" s="8">
        <f>IFERROR(INDEX('Ingredient Database'!$L$5:$L$38,MATCH($A9,'Ingredient Database'!$A$5:$A$38,0))*$C9,"check name")</f>
        <v>0.2</v>
      </c>
      <c r="N9" s="8">
        <f>IFERROR(INDEX('Ingredient Database'!$M$5:$M$38,MATCH($A9,'Ingredient Database'!$A$5:$A$38,0))*$C9,"check name")</f>
        <v>2.5</v>
      </c>
      <c r="O9" s="8">
        <f>IFERROR(INDEX('Ingredient Database'!$N$5:$N$38,MATCH($A9,'Ingredient Database'!$A$5:$A$38,0))*$C9,"check name")</f>
        <v>6.85</v>
      </c>
      <c r="P9" s="8">
        <f>IFERROR(INDEX('Ingredient Database'!$O$5:$O$38,MATCH($A9,'Ingredient Database'!$A$5:$A$38,0))*$C9,"check name")</f>
        <v>12</v>
      </c>
    </row>
    <row r="10" spans="1:16" x14ac:dyDescent="0.3">
      <c r="A10" s="4" t="s">
        <v>37</v>
      </c>
      <c r="B10" s="5" t="s">
        <v>62</v>
      </c>
      <c r="C10" s="7">
        <v>0.01</v>
      </c>
      <c r="D10" s="8">
        <f>IFERROR(INDEX('Ingredient Database'!$C$5:$C$38,MATCH($A10,'Ingredient Database'!$A$5:$A$38,0))*$C10,"check name")</f>
        <v>0.23</v>
      </c>
      <c r="E10" s="8">
        <f>IFERROR(INDEX('Ingredient Database'!$D$5:$D$38,MATCH($A10,'Ingredient Database'!$A$5:$A$38,0))*$C10,"check name")</f>
        <v>2.1000000000000001E-2</v>
      </c>
      <c r="F10" s="8">
        <f>IFERROR(INDEX('Ingredient Database'!$E$5:$E$38,MATCH($A10,'Ingredient Database'!$A$5:$A$38,0))*$C10,"check name")</f>
        <v>3.7000000000000005E-2</v>
      </c>
      <c r="G10" s="8">
        <f>IFERROR(INDEX('Ingredient Database'!$F$5:$F$38,MATCH($A10,'Ingredient Database'!$A$5:$A$38,0))*$C10,"check name")</f>
        <v>5.0000000000000001E-3</v>
      </c>
      <c r="H10" s="8">
        <f>IFERROR(INDEX('Ingredient Database'!$G$5:$G$38,MATCH($A10,'Ingredient Database'!$A$5:$A$38,0))*$C10,"check name")</f>
        <v>2.7999999999999997E-2</v>
      </c>
      <c r="I10" s="8">
        <f>IFERROR(INDEX('Ingredient Database'!$H$5:$H$38,MATCH($A10,'Ingredient Database'!$A$5:$A$38,0))*$C10,"check name")</f>
        <v>1.8000000000000002E-2</v>
      </c>
      <c r="J10" s="8">
        <f>IFERROR(INDEX('Ingredient Database'!$I$5:$I$38,MATCH($A10,'Ingredient Database'!$A$5:$A$38,0))*$C10,"check name")</f>
        <v>0.67</v>
      </c>
      <c r="K10" s="8">
        <f>IFERROR(INDEX('Ingredient Database'!$J$5:$J$38,MATCH($A10,'Ingredient Database'!$A$5:$A$38,0))*$C10,"check name")</f>
        <v>0.26</v>
      </c>
      <c r="L10" s="8">
        <f>IFERROR(INDEX('Ingredient Database'!$K$5:$K$38,MATCH($A10,'Ingredient Database'!$A$5:$A$38,0))*$C10,"check name")</f>
        <v>5.21</v>
      </c>
      <c r="M10" s="8">
        <f>IFERROR(INDEX('Ingredient Database'!$L$5:$L$38,MATCH($A10,'Ingredient Database'!$A$5:$A$38,0))*$C10,"check name")</f>
        <v>5.0000000000000001E-3</v>
      </c>
      <c r="N10" s="8">
        <f>IFERROR(INDEX('Ingredient Database'!$M$5:$M$38,MATCH($A10,'Ingredient Database'!$A$5:$A$38,0))*$C10,"check name")</f>
        <v>3.37</v>
      </c>
      <c r="O10" s="8">
        <f>IFERROR(INDEX('Ingredient Database'!$N$5:$N$38,MATCH($A10,'Ingredient Database'!$A$5:$A$38,0))*$C10,"check name")</f>
        <v>0.27</v>
      </c>
      <c r="P10" s="8">
        <f>IFERROR(INDEX('Ingredient Database'!$O$5:$O$38,MATCH($A10,'Ingredient Database'!$A$5:$A$38,0))*$C10,"check name")</f>
        <v>0.62</v>
      </c>
    </row>
    <row r="11" spans="1:16" x14ac:dyDescent="0.3">
      <c r="A11" s="4" t="s">
        <v>38</v>
      </c>
      <c r="B11" s="5" t="s">
        <v>62</v>
      </c>
      <c r="C11" s="7">
        <v>0.01</v>
      </c>
      <c r="D11" s="8">
        <f>IFERROR(INDEX('Ingredient Database'!$C$5:$C$38,MATCH($A11,'Ingredient Database'!$A$5:$A$38,0))*$C11,"check name")</f>
        <v>0.32</v>
      </c>
      <c r="E11" s="8">
        <f>IFERROR(INDEX('Ingredient Database'!$D$5:$D$38,MATCH($A11,'Ingredient Database'!$A$5:$A$38,0))*$C11,"check name")</f>
        <v>1.8000000000000002E-2</v>
      </c>
      <c r="F11" s="8">
        <f>IFERROR(INDEX('Ingredient Database'!$E$5:$E$38,MATCH($A11,'Ingredient Database'!$A$5:$A$38,0))*$C11,"check name")</f>
        <v>7.2999999999999995E-2</v>
      </c>
      <c r="G11" s="8">
        <f>IFERROR(INDEX('Ingredient Database'!$F$5:$F$38,MATCH($A11,'Ingredient Database'!$A$5:$A$38,0))*$C11,"check name")</f>
        <v>2E-3</v>
      </c>
      <c r="H11" s="8">
        <f>IFERROR(INDEX('Ingredient Database'!$G$5:$G$38,MATCH($A11,'Ingredient Database'!$A$5:$A$38,0))*$C11,"check name")</f>
        <v>2.6000000000000002E-2</v>
      </c>
      <c r="I11" s="8">
        <f>IFERROR(INDEX('Ingredient Database'!$H$5:$H$38,MATCH($A11,'Ingredient Database'!$A$5:$A$38,0))*$C11,"check name")</f>
        <v>1.4999999999999999E-2</v>
      </c>
      <c r="J11" s="8">
        <f>IFERROR(INDEX('Ingredient Database'!$I$5:$I$38,MATCH($A11,'Ingredient Database'!$A$5:$A$38,0))*$C11,"check name")</f>
        <v>0.72</v>
      </c>
      <c r="K11" s="8">
        <f>IFERROR(INDEX('Ingredient Database'!$J$5:$J$38,MATCH($A11,'Ingredient Database'!$A$5:$A$38,0))*$C11,"check name")</f>
        <v>0.2</v>
      </c>
      <c r="L11" s="8">
        <f>IFERROR(INDEX('Ingredient Database'!$K$5:$K$38,MATCH($A11,'Ingredient Database'!$A$5:$A$38,0))*$C11,"check name")</f>
        <v>2.7600000000000002</v>
      </c>
      <c r="M11" s="8">
        <f>IFERROR(INDEX('Ingredient Database'!$L$5:$L$38,MATCH($A11,'Ingredient Database'!$A$5:$A$38,0))*$C11,"check name")</f>
        <v>4.0000000000000001E-3</v>
      </c>
      <c r="N11" s="8">
        <f>IFERROR(INDEX('Ingredient Database'!$M$5:$M$38,MATCH($A11,'Ingredient Database'!$A$5:$A$38,0))*$C11,"check name")</f>
        <v>0.5</v>
      </c>
      <c r="O11" s="8">
        <f>IFERROR(INDEX('Ingredient Database'!$N$5:$N$38,MATCH($A11,'Ingredient Database'!$A$5:$A$38,0))*$C11,"check name")</f>
        <v>0.18</v>
      </c>
      <c r="P11" s="8">
        <f>IFERROR(INDEX('Ingredient Database'!$O$5:$O$38,MATCH($A11,'Ingredient Database'!$A$5:$A$38,0))*$C11,"check name")</f>
        <v>0.64</v>
      </c>
    </row>
    <row r="12" spans="1:16" x14ac:dyDescent="0.3">
      <c r="A12" s="4" t="s">
        <v>35</v>
      </c>
      <c r="B12" s="5" t="s">
        <v>63</v>
      </c>
      <c r="C12" s="7">
        <v>0.6</v>
      </c>
      <c r="D12" s="8">
        <f>IFERROR(INDEX('Ingredient Database'!$C$5:$C$38,MATCH($A12,'Ingredient Database'!$A$5:$A$38,0))*$C12,"check name")</f>
        <v>10.799999999999999</v>
      </c>
      <c r="E12" s="8">
        <f>IFERROR(INDEX('Ingredient Database'!$D$5:$D$38,MATCH($A12,'Ingredient Database'!$A$5:$A$38,0))*$C12,"check name")</f>
        <v>0.84</v>
      </c>
      <c r="F12" s="8">
        <f>IFERROR(INDEX('Ingredient Database'!$E$5:$E$38,MATCH($A12,'Ingredient Database'!$A$5:$A$38,0))*$C12,"check name")</f>
        <v>2.1</v>
      </c>
      <c r="G12" s="8">
        <f>IFERROR(INDEX('Ingredient Database'!$F$5:$F$38,MATCH($A12,'Ingredient Database'!$A$5:$A$38,0))*$C12,"check name")</f>
        <v>0.12</v>
      </c>
      <c r="H12" s="8">
        <f>IFERROR(INDEX('Ingredient Database'!$G$5:$G$38,MATCH($A12,'Ingredient Database'!$A$5:$A$38,0))*$C12,"check name")</f>
        <v>1.08</v>
      </c>
      <c r="I12" s="8">
        <f>IFERROR(INDEX('Ingredient Database'!$H$5:$H$38,MATCH($A12,'Ingredient Database'!$A$5:$A$38,0))*$C12,"check name")</f>
        <v>0.3</v>
      </c>
      <c r="J12" s="8">
        <f>IFERROR(INDEX('Ingredient Database'!$I$5:$I$38,MATCH($A12,'Ingredient Database'!$A$5:$A$38,0))*$C12,"check name")</f>
        <v>18</v>
      </c>
      <c r="K12" s="8">
        <f>IFERROR(INDEX('Ingredient Database'!$J$5:$J$38,MATCH($A12,'Ingredient Database'!$A$5:$A$38,0))*$C12,"check name")</f>
        <v>6</v>
      </c>
      <c r="L12" s="8">
        <f>IFERROR(INDEX('Ingredient Database'!$K$5:$K$38,MATCH($A12,'Ingredient Database'!$A$5:$A$38,0))*$C12,"check name")</f>
        <v>120</v>
      </c>
      <c r="M12" s="8">
        <f>IFERROR(INDEX('Ingredient Database'!$L$5:$L$38,MATCH($A12,'Ingredient Database'!$A$5:$A$38,0))*$C12,"check name")</f>
        <v>0.12</v>
      </c>
      <c r="N12" s="8">
        <f>IFERROR(INDEX('Ingredient Database'!$M$5:$M$38,MATCH($A12,'Ingredient Database'!$A$5:$A$38,0))*$C12,"check name")</f>
        <v>108</v>
      </c>
      <c r="O12" s="8">
        <f>IFERROR(INDEX('Ingredient Database'!$N$5:$N$38,MATCH($A12,'Ingredient Database'!$A$5:$A$38,0))*$C12,"check name")</f>
        <v>9</v>
      </c>
      <c r="P12" s="8">
        <f>IFERROR(INDEX('Ingredient Database'!$O$5:$O$38,MATCH($A12,'Ingredient Database'!$A$5:$A$38,0))*$C12,"check name")</f>
        <v>30</v>
      </c>
    </row>
    <row r="13" spans="1:16" x14ac:dyDescent="0.3">
      <c r="A13" s="4" t="s">
        <v>36</v>
      </c>
      <c r="B13" s="5" t="s">
        <v>63</v>
      </c>
      <c r="C13" s="7">
        <v>0.6</v>
      </c>
      <c r="D13" s="8">
        <f>IFERROR(INDEX('Ingredient Database'!$C$5:$C$38,MATCH($A13,'Ingredient Database'!$A$5:$A$38,0))*$C13,"check name")</f>
        <v>21</v>
      </c>
      <c r="E13" s="8">
        <f>IFERROR(INDEX('Ingredient Database'!$D$5:$D$38,MATCH($A13,'Ingredient Database'!$A$5:$A$38,0))*$C13,"check name")</f>
        <v>0.48</v>
      </c>
      <c r="F13" s="8">
        <f>IFERROR(INDEX('Ingredient Database'!$E$5:$E$38,MATCH($A13,'Ingredient Database'!$A$5:$A$38,0))*$C13,"check name")</f>
        <v>4.8</v>
      </c>
      <c r="G13" s="8">
        <f>IFERROR(INDEX('Ingredient Database'!$F$5:$F$38,MATCH($A13,'Ingredient Database'!$A$5:$A$38,0))*$C13,"check name")</f>
        <v>0.06</v>
      </c>
      <c r="H13" s="8">
        <f>IFERROR(INDEX('Ingredient Database'!$G$5:$G$38,MATCH($A13,'Ingredient Database'!$A$5:$A$38,0))*$C13,"check name")</f>
        <v>1.02</v>
      </c>
      <c r="I13" s="8">
        <f>IFERROR(INDEX('Ingredient Database'!$H$5:$H$38,MATCH($A13,'Ingredient Database'!$A$5:$A$38,0))*$C13,"check name")</f>
        <v>0.18</v>
      </c>
      <c r="J13" s="8">
        <f>IFERROR(INDEX('Ingredient Database'!$I$5:$I$38,MATCH($A13,'Ingredient Database'!$A$5:$A$38,0))*$C13,"check name")</f>
        <v>15</v>
      </c>
      <c r="K13" s="8">
        <f>IFERROR(INDEX('Ingredient Database'!$J$5:$J$38,MATCH($A13,'Ingredient Database'!$A$5:$A$38,0))*$C13,"check name")</f>
        <v>6</v>
      </c>
      <c r="L13" s="8">
        <f>IFERROR(INDEX('Ingredient Database'!$K$5:$K$38,MATCH($A13,'Ingredient Database'!$A$5:$A$38,0))*$C13,"check name")</f>
        <v>150</v>
      </c>
      <c r="M13" s="8">
        <f>IFERROR(INDEX('Ingredient Database'!$L$5:$L$38,MATCH($A13,'Ingredient Database'!$A$5:$A$38,0))*$C13,"check name")</f>
        <v>0.12</v>
      </c>
      <c r="N13" s="8">
        <f>IFERROR(INDEX('Ingredient Database'!$M$5:$M$38,MATCH($A13,'Ingredient Database'!$A$5:$A$38,0))*$C13,"check name")</f>
        <v>252</v>
      </c>
      <c r="O13" s="8">
        <f>IFERROR(INDEX('Ingredient Database'!$N$5:$N$38,MATCH($A13,'Ingredient Database'!$A$5:$A$38,0))*$C13,"check name")</f>
        <v>7.8</v>
      </c>
      <c r="P13" s="8">
        <f>IFERROR(INDEX('Ingredient Database'!$O$5:$O$38,MATCH($A13,'Ingredient Database'!$A$5:$A$38,0))*$C13,"check name")</f>
        <v>9</v>
      </c>
    </row>
    <row r="14" spans="1:16" ht="27" x14ac:dyDescent="0.3">
      <c r="A14" s="4" t="s">
        <v>29</v>
      </c>
      <c r="B14" s="5" t="s">
        <v>61</v>
      </c>
      <c r="C14" s="7">
        <v>0.5</v>
      </c>
      <c r="D14" s="8">
        <f>IFERROR(INDEX('Ingredient Database'!$C$5:$C$38,MATCH($A14,'Ingredient Database'!$A$5:$A$38,0))*$C14,"check name")</f>
        <v>82.5</v>
      </c>
      <c r="E14" s="8">
        <f>IFERROR(INDEX('Ingredient Database'!$D$5:$D$38,MATCH($A14,'Ingredient Database'!$A$5:$A$38,0))*$C14,"check name")</f>
        <v>13</v>
      </c>
      <c r="F14" s="8">
        <f>IFERROR(INDEX('Ingredient Database'!$E$5:$E$38,MATCH($A14,'Ingredient Database'!$A$5:$A$38,0))*$C14,"check name")</f>
        <v>2</v>
      </c>
      <c r="G14" s="8">
        <f>IFERROR(INDEX('Ingredient Database'!$F$5:$F$38,MATCH($A14,'Ingredient Database'!$A$5:$A$38,0))*$C14,"check name")</f>
        <v>2</v>
      </c>
      <c r="H14" s="8">
        <f>IFERROR(INDEX('Ingredient Database'!$G$5:$G$38,MATCH($A14,'Ingredient Database'!$A$5:$A$38,0))*$C14,"check name")</f>
        <v>0.5</v>
      </c>
      <c r="I14" s="8">
        <f>IFERROR(INDEX('Ingredient Database'!$H$5:$H$38,MATCH($A14,'Ingredient Database'!$A$5:$A$38,0))*$C14,"check name")</f>
        <v>1.75</v>
      </c>
      <c r="J14" s="8">
        <f>IFERROR(INDEX('Ingredient Database'!$I$5:$I$38,MATCH($A14,'Ingredient Database'!$A$5:$A$38,0))*$C14,"check name")</f>
        <v>10</v>
      </c>
      <c r="K14" s="8">
        <f>IFERROR(INDEX('Ingredient Database'!$J$5:$J$38,MATCH($A14,'Ingredient Database'!$A$5:$A$38,0))*$C14,"check name")</f>
        <v>12.5</v>
      </c>
      <c r="L14" s="8">
        <f>IFERROR(INDEX('Ingredient Database'!$K$5:$K$38,MATCH($A14,'Ingredient Database'!$A$5:$A$38,0))*$C14,"check name")</f>
        <v>45</v>
      </c>
      <c r="M14" s="8">
        <f>IFERROR(INDEX('Ingredient Database'!$L$5:$L$38,MATCH($A14,'Ingredient Database'!$A$5:$A$38,0))*$C14,"check name")</f>
        <v>0.6</v>
      </c>
      <c r="N14" s="8">
        <f>IFERROR(INDEX('Ingredient Database'!$M$5:$M$38,MATCH($A14,'Ingredient Database'!$A$5:$A$38,0))*$C14,"check name")</f>
        <v>0</v>
      </c>
      <c r="O14" s="8">
        <f>IFERROR(INDEX('Ingredient Database'!$N$5:$N$38,MATCH($A14,'Ingredient Database'!$A$5:$A$38,0))*$C14,"check name")</f>
        <v>0</v>
      </c>
      <c r="P14" s="8">
        <f>IFERROR(INDEX('Ingredient Database'!$O$5:$O$38,MATCH($A14,'Ingredient Database'!$A$5:$A$38,0))*$C14,"check name")</f>
        <v>2.5</v>
      </c>
    </row>
    <row r="15" spans="1:16" x14ac:dyDescent="0.3">
      <c r="A15" s="9" t="s">
        <v>64</v>
      </c>
      <c r="B15" s="10"/>
      <c r="C15" s="10"/>
      <c r="D15" s="11">
        <f t="shared" ref="D15:P15" si="0">SUM(D5:D14)</f>
        <v>595.08100000000002</v>
      </c>
      <c r="E15" s="11">
        <f t="shared" si="0"/>
        <v>33.097500000000004</v>
      </c>
      <c r="F15" s="11">
        <f t="shared" si="0"/>
        <v>58.319600000000001</v>
      </c>
      <c r="G15" s="11">
        <f t="shared" si="0"/>
        <v>28.282899999999998</v>
      </c>
      <c r="H15" s="11">
        <f t="shared" si="0"/>
        <v>11.1767</v>
      </c>
      <c r="I15" s="11">
        <f t="shared" si="0"/>
        <v>6.8218999999999994</v>
      </c>
      <c r="J15" s="11">
        <f t="shared" si="0"/>
        <v>179.91</v>
      </c>
      <c r="K15" s="11">
        <f t="shared" si="0"/>
        <v>98.414000000000016</v>
      </c>
      <c r="L15" s="11">
        <f t="shared" si="0"/>
        <v>1036.125</v>
      </c>
      <c r="M15" s="11">
        <f t="shared" si="0"/>
        <v>3.7717000000000005</v>
      </c>
      <c r="N15" s="11">
        <f t="shared" si="0"/>
        <v>417.37</v>
      </c>
      <c r="O15" s="11">
        <f t="shared" si="0"/>
        <v>30.05</v>
      </c>
      <c r="P15" s="11">
        <f t="shared" si="0"/>
        <v>96.037000000000006</v>
      </c>
    </row>
  </sheetData>
  <mergeCells count="2">
    <mergeCell ref="A1:P1"/>
    <mergeCell ref="A2:P2"/>
  </mergeCells>
  <pageMargins left="0.4" right="0.4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16" customWidth="1"/>
    <col min="3" max="3" width="12" customWidth="1"/>
    <col min="4" max="16" width="11" customWidth="1"/>
  </cols>
  <sheetData>
    <row r="1" spans="1:16" ht="21" x14ac:dyDescent="0.4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33.75" customHeight="1" x14ac:dyDescent="0.3">
      <c r="A4" s="3" t="s">
        <v>55</v>
      </c>
      <c r="B4" s="3" t="s">
        <v>56</v>
      </c>
      <c r="C4" s="3" t="s">
        <v>57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x14ac:dyDescent="0.3">
      <c r="A5" s="4" t="s">
        <v>19</v>
      </c>
      <c r="B5" s="5" t="s">
        <v>67</v>
      </c>
      <c r="C5" s="7">
        <v>2</v>
      </c>
      <c r="D5" s="8">
        <f>IFERROR(INDEX('Ingredient Database'!$C$5:$C$38,MATCH($A5,'Ingredient Database'!$A$5:$A$38,0))*$C5,"check name")</f>
        <v>260</v>
      </c>
      <c r="E5" s="8">
        <f>IFERROR(INDEX('Ingredient Database'!$D$5:$D$38,MATCH($A5,'Ingredient Database'!$A$5:$A$38,0))*$C5,"check name")</f>
        <v>5.4</v>
      </c>
      <c r="F5" s="8">
        <f>IFERROR(INDEX('Ingredient Database'!$E$5:$E$38,MATCH($A5,'Ingredient Database'!$A$5:$A$38,0))*$C5,"check name")</f>
        <v>56</v>
      </c>
      <c r="G5" s="8">
        <f>IFERROR(INDEX('Ingredient Database'!$F$5:$F$38,MATCH($A5,'Ingredient Database'!$A$5:$A$38,0))*$C5,"check name")</f>
        <v>0.6</v>
      </c>
      <c r="H5" s="8">
        <f>IFERROR(INDEX('Ingredient Database'!$G$5:$G$38,MATCH($A5,'Ingredient Database'!$A$5:$A$38,0))*$C5,"check name")</f>
        <v>0.8</v>
      </c>
      <c r="I5" s="8">
        <f>IFERROR(INDEX('Ingredient Database'!$H$5:$H$38,MATCH($A5,'Ingredient Database'!$A$5:$A$38,0))*$C5,"check name")</f>
        <v>2.4</v>
      </c>
      <c r="J5" s="8">
        <f>IFERROR(INDEX('Ingredient Database'!$I$5:$I$38,MATCH($A5,'Ingredient Database'!$A$5:$A$38,0))*$C5,"check name")</f>
        <v>6</v>
      </c>
      <c r="K5" s="8">
        <f>IFERROR(INDEX('Ingredient Database'!$J$5:$J$38,MATCH($A5,'Ingredient Database'!$A$5:$A$38,0))*$C5,"check name")</f>
        <v>24</v>
      </c>
      <c r="L5" s="8">
        <f>IFERROR(INDEX('Ingredient Database'!$K$5:$K$38,MATCH($A5,'Ingredient Database'!$A$5:$A$38,0))*$C5,"check name")</f>
        <v>70</v>
      </c>
      <c r="M5" s="8">
        <f>IFERROR(INDEX('Ingredient Database'!$L$5:$L$38,MATCH($A5,'Ingredient Database'!$A$5:$A$38,0))*$C5,"check name")</f>
        <v>1</v>
      </c>
      <c r="N5" s="8">
        <f>IFERROR(INDEX('Ingredient Database'!$M$5:$M$38,MATCH($A5,'Ingredient Database'!$A$5:$A$38,0))*$C5,"check name")</f>
        <v>0</v>
      </c>
      <c r="O5" s="8">
        <f>IFERROR(INDEX('Ingredient Database'!$N$5:$N$38,MATCH($A5,'Ingredient Database'!$A$5:$A$38,0))*$C5,"check name")</f>
        <v>0</v>
      </c>
      <c r="P5" s="8">
        <f>IFERROR(INDEX('Ingredient Database'!$O$5:$O$38,MATCH($A5,'Ingredient Database'!$A$5:$A$38,0))*$C5,"check name")</f>
        <v>90</v>
      </c>
    </row>
    <row r="6" spans="1:16" x14ac:dyDescent="0.3">
      <c r="A6" s="4" t="s">
        <v>21</v>
      </c>
      <c r="B6" s="5" t="s">
        <v>68</v>
      </c>
      <c r="C6" s="7">
        <v>0.75</v>
      </c>
      <c r="D6" s="8">
        <f>IFERROR(INDEX('Ingredient Database'!$C$5:$C$38,MATCH($A6,'Ingredient Database'!$A$5:$A$38,0))*$C6,"check name")</f>
        <v>123</v>
      </c>
      <c r="E6" s="8">
        <f>IFERROR(INDEX('Ingredient Database'!$D$5:$D$38,MATCH($A6,'Ingredient Database'!$A$5:$A$38,0))*$C6,"check name")</f>
        <v>6.6750000000000007</v>
      </c>
      <c r="F6" s="8">
        <f>IFERROR(INDEX('Ingredient Database'!$E$5:$E$38,MATCH($A6,'Ingredient Database'!$A$5:$A$38,0))*$C6,"check name")</f>
        <v>20.549999999999997</v>
      </c>
      <c r="G6" s="8">
        <f>IFERROR(INDEX('Ingredient Database'!$F$5:$F$38,MATCH($A6,'Ingredient Database'!$A$5:$A$38,0))*$C6,"check name")</f>
        <v>1.9500000000000002</v>
      </c>
      <c r="H6" s="8">
        <f>IFERROR(INDEX('Ingredient Database'!$G$5:$G$38,MATCH($A6,'Ingredient Database'!$A$5:$A$38,0))*$C6,"check name")</f>
        <v>5.6999999999999993</v>
      </c>
      <c r="I6" s="8">
        <f>IFERROR(INDEX('Ingredient Database'!$H$5:$H$38,MATCH($A6,'Ingredient Database'!$A$5:$A$38,0))*$C6,"check name")</f>
        <v>2.1749999999999998</v>
      </c>
      <c r="J6" s="8">
        <f>IFERROR(INDEX('Ingredient Database'!$I$5:$I$38,MATCH($A6,'Ingredient Database'!$A$5:$A$38,0))*$C6,"check name")</f>
        <v>36.75</v>
      </c>
      <c r="K6" s="8">
        <f>IFERROR(INDEX('Ingredient Database'!$J$5:$J$38,MATCH($A6,'Ingredient Database'!$A$5:$A$38,0))*$C6,"check name")</f>
        <v>36</v>
      </c>
      <c r="L6" s="8">
        <f>IFERROR(INDEX('Ingredient Database'!$K$5:$K$38,MATCH($A6,'Ingredient Database'!$A$5:$A$38,0))*$C6,"check name")</f>
        <v>218.25</v>
      </c>
      <c r="M6" s="8">
        <f>IFERROR(INDEX('Ingredient Database'!$L$5:$L$38,MATCH($A6,'Ingredient Database'!$A$5:$A$38,0))*$C6,"check name")</f>
        <v>1.125</v>
      </c>
      <c r="N6" s="8">
        <f>IFERROR(INDEX('Ingredient Database'!$M$5:$M$38,MATCH($A6,'Ingredient Database'!$A$5:$A$38,0))*$C6,"check name")</f>
        <v>0.75</v>
      </c>
      <c r="O6" s="8">
        <f>IFERROR(INDEX('Ingredient Database'!$N$5:$N$38,MATCH($A6,'Ingredient Database'!$A$5:$A$38,0))*$C6,"check name")</f>
        <v>0.97500000000000009</v>
      </c>
      <c r="P6" s="8">
        <f>IFERROR(INDEX('Ingredient Database'!$O$5:$O$38,MATCH($A6,'Ingredient Database'!$A$5:$A$38,0))*$C6,"check name")</f>
        <v>129</v>
      </c>
    </row>
    <row r="7" spans="1:16" x14ac:dyDescent="0.3">
      <c r="A7" s="4" t="s">
        <v>22</v>
      </c>
      <c r="B7" s="5" t="s">
        <v>69</v>
      </c>
      <c r="C7" s="7">
        <v>0.2</v>
      </c>
      <c r="D7" s="8">
        <f>IFERROR(INDEX('Ingredient Database'!$C$5:$C$38,MATCH($A7,'Ingredient Database'!$A$5:$A$38,0))*$C7,"check name")</f>
        <v>16.2</v>
      </c>
      <c r="E7" s="8">
        <f>IFERROR(INDEX('Ingredient Database'!$D$5:$D$38,MATCH($A7,'Ingredient Database'!$A$5:$A$38,0))*$C7,"check name")</f>
        <v>1.08</v>
      </c>
      <c r="F7" s="8">
        <f>IFERROR(INDEX('Ingredient Database'!$E$5:$E$38,MATCH($A7,'Ingredient Database'!$A$5:$A$38,0))*$C7,"check name")</f>
        <v>2.9000000000000004</v>
      </c>
      <c r="G7" s="8">
        <f>IFERROR(INDEX('Ingredient Database'!$F$5:$F$38,MATCH($A7,'Ingredient Database'!$A$5:$A$38,0))*$C7,"check name")</f>
        <v>8.0000000000000016E-2</v>
      </c>
      <c r="H7" s="8">
        <f>IFERROR(INDEX('Ingredient Database'!$G$5:$G$38,MATCH($A7,'Ingredient Database'!$A$5:$A$38,0))*$C7,"check name")</f>
        <v>1.1400000000000001</v>
      </c>
      <c r="I7" s="8">
        <f>IFERROR(INDEX('Ingredient Database'!$H$5:$H$38,MATCH($A7,'Ingredient Database'!$A$5:$A$38,0))*$C7,"check name")</f>
        <v>0.30000000000000004</v>
      </c>
      <c r="J7" s="8">
        <f>IFERROR(INDEX('Ingredient Database'!$I$5:$I$38,MATCH($A7,'Ingredient Database'!$A$5:$A$38,0))*$C7,"check name")</f>
        <v>5</v>
      </c>
      <c r="K7" s="8">
        <f>IFERROR(INDEX('Ingredient Database'!$J$5:$J$38,MATCH($A7,'Ingredient Database'!$A$5:$A$38,0))*$C7,"check name")</f>
        <v>6.6000000000000005</v>
      </c>
      <c r="L7" s="8">
        <f>IFERROR(INDEX('Ingredient Database'!$K$5:$K$38,MATCH($A7,'Ingredient Database'!$A$5:$A$38,0))*$C7,"check name")</f>
        <v>48.800000000000004</v>
      </c>
      <c r="M7" s="8">
        <f>IFERROR(INDEX('Ingredient Database'!$L$5:$L$38,MATCH($A7,'Ingredient Database'!$A$5:$A$38,0))*$C7,"check name")</f>
        <v>0.24</v>
      </c>
      <c r="N7" s="8">
        <f>IFERROR(INDEX('Ingredient Database'!$M$5:$M$38,MATCH($A7,'Ingredient Database'!$A$5:$A$38,0))*$C7,"check name")</f>
        <v>7.6000000000000005</v>
      </c>
      <c r="O7" s="8">
        <f>IFERROR(INDEX('Ingredient Database'!$N$5:$N$38,MATCH($A7,'Ingredient Database'!$A$5:$A$38,0))*$C7,"check name")</f>
        <v>8</v>
      </c>
      <c r="P7" s="8">
        <f>IFERROR(INDEX('Ingredient Database'!$O$5:$O$38,MATCH($A7,'Ingredient Database'!$A$5:$A$38,0))*$C7,"check name")</f>
        <v>13</v>
      </c>
    </row>
    <row r="8" spans="1:16" x14ac:dyDescent="0.3">
      <c r="A8" s="4" t="s">
        <v>24</v>
      </c>
      <c r="B8" s="5" t="s">
        <v>70</v>
      </c>
      <c r="C8" s="7">
        <v>0.55000000000000004</v>
      </c>
      <c r="D8" s="8">
        <f>IFERROR(INDEX('Ingredient Database'!$C$5:$C$38,MATCH($A8,'Ingredient Database'!$A$5:$A$38,0))*$C8,"check name")</f>
        <v>22</v>
      </c>
      <c r="E8" s="8">
        <f>IFERROR(INDEX('Ingredient Database'!$D$5:$D$38,MATCH($A8,'Ingredient Database'!$A$5:$A$38,0))*$C8,"check name")</f>
        <v>0.82500000000000007</v>
      </c>
      <c r="F8" s="8">
        <f>IFERROR(INDEX('Ingredient Database'!$E$5:$E$38,MATCH($A8,'Ingredient Database'!$A$5:$A$38,0))*$C8,"check name")</f>
        <v>4.4000000000000004</v>
      </c>
      <c r="G8" s="8">
        <f>IFERROR(INDEX('Ingredient Database'!$F$5:$F$38,MATCH($A8,'Ingredient Database'!$A$5:$A$38,0))*$C8,"check name")</f>
        <v>0.16500000000000001</v>
      </c>
      <c r="H8" s="8">
        <f>IFERROR(INDEX('Ingredient Database'!$G$5:$G$38,MATCH($A8,'Ingredient Database'!$A$5:$A$38,0))*$C8,"check name")</f>
        <v>0.82500000000000007</v>
      </c>
      <c r="I8" s="8">
        <f>IFERROR(INDEX('Ingredient Database'!$H$5:$H$38,MATCH($A8,'Ingredient Database'!$A$5:$A$38,0))*$C8,"check name")</f>
        <v>0.27500000000000002</v>
      </c>
      <c r="J8" s="8">
        <f>IFERROR(INDEX('Ingredient Database'!$I$5:$I$38,MATCH($A8,'Ingredient Database'!$A$5:$A$38,0))*$C8,"check name")</f>
        <v>8.25</v>
      </c>
      <c r="K8" s="8">
        <f>IFERROR(INDEX('Ingredient Database'!$J$5:$J$38,MATCH($A8,'Ingredient Database'!$A$5:$A$38,0))*$C8,"check name")</f>
        <v>5.5</v>
      </c>
      <c r="L8" s="8">
        <f>IFERROR(INDEX('Ingredient Database'!$K$5:$K$38,MATCH($A8,'Ingredient Database'!$A$5:$A$38,0))*$C8,"check name")</f>
        <v>121.00000000000001</v>
      </c>
      <c r="M8" s="8">
        <f>IFERROR(INDEX('Ingredient Database'!$L$5:$L$38,MATCH($A8,'Ingredient Database'!$A$5:$A$38,0))*$C8,"check name")</f>
        <v>0.11000000000000001</v>
      </c>
      <c r="N8" s="8">
        <f>IFERROR(INDEX('Ingredient Database'!$M$5:$M$38,MATCH($A8,'Ingredient Database'!$A$5:$A$38,0))*$C8,"check name")</f>
        <v>11</v>
      </c>
      <c r="O8" s="8">
        <f>IFERROR(INDEX('Ingredient Database'!$N$5:$N$38,MATCH($A8,'Ingredient Database'!$A$5:$A$38,0))*$C8,"check name")</f>
        <v>5.5</v>
      </c>
      <c r="P8" s="8">
        <f>IFERROR(INDEX('Ingredient Database'!$O$5:$O$38,MATCH($A8,'Ingredient Database'!$A$5:$A$38,0))*$C8,"check name")</f>
        <v>8.25</v>
      </c>
    </row>
    <row r="9" spans="1:16" x14ac:dyDescent="0.3">
      <c r="A9" s="4" t="s">
        <v>25</v>
      </c>
      <c r="B9" s="5" t="s">
        <v>71</v>
      </c>
      <c r="C9" s="7">
        <v>2.3E-2</v>
      </c>
      <c r="D9" s="8">
        <f>IFERROR(INDEX('Ingredient Database'!$C$5:$C$38,MATCH($A9,'Ingredient Database'!$A$5:$A$38,0))*$C9,"check name")</f>
        <v>20.332000000000001</v>
      </c>
      <c r="E9" s="8">
        <f>IFERROR(INDEX('Ingredient Database'!$D$5:$D$38,MATCH($A9,'Ingredient Database'!$A$5:$A$38,0))*$C9,"check name")</f>
        <v>0</v>
      </c>
      <c r="F9" s="8">
        <f>IFERROR(INDEX('Ingredient Database'!$E$5:$E$38,MATCH($A9,'Ingredient Database'!$A$5:$A$38,0))*$C9,"check name")</f>
        <v>0</v>
      </c>
      <c r="G9" s="8">
        <f>IFERROR(INDEX('Ingredient Database'!$F$5:$F$38,MATCH($A9,'Ingredient Database'!$A$5:$A$38,0))*$C9,"check name")</f>
        <v>2.2999999999999998</v>
      </c>
      <c r="H9" s="8">
        <f>IFERROR(INDEX('Ingredient Database'!$G$5:$G$38,MATCH($A9,'Ingredient Database'!$A$5:$A$38,0))*$C9,"check name")</f>
        <v>0</v>
      </c>
      <c r="I9" s="8">
        <f>IFERROR(INDEX('Ingredient Database'!$H$5:$H$38,MATCH($A9,'Ingredient Database'!$A$5:$A$38,0))*$C9,"check name")</f>
        <v>0</v>
      </c>
      <c r="J9" s="8">
        <f>IFERROR(INDEX('Ingredient Database'!$I$5:$I$38,MATCH($A9,'Ingredient Database'!$A$5:$A$38,0))*$C9,"check name")</f>
        <v>0</v>
      </c>
      <c r="K9" s="8">
        <f>IFERROR(INDEX('Ingredient Database'!$J$5:$J$38,MATCH($A9,'Ingredient Database'!$A$5:$A$38,0))*$C9,"check name")</f>
        <v>0</v>
      </c>
      <c r="L9" s="8">
        <f>IFERROR(INDEX('Ingredient Database'!$K$5:$K$38,MATCH($A9,'Ingredient Database'!$A$5:$A$38,0))*$C9,"check name")</f>
        <v>0</v>
      </c>
      <c r="M9" s="8">
        <f>IFERROR(INDEX('Ingredient Database'!$L$5:$L$38,MATCH($A9,'Ingredient Database'!$A$5:$A$38,0))*$C9,"check name")</f>
        <v>0</v>
      </c>
      <c r="N9" s="8">
        <f>IFERROR(INDEX('Ingredient Database'!$M$5:$M$38,MATCH($A9,'Ingredient Database'!$A$5:$A$38,0))*$C9,"check name")</f>
        <v>0</v>
      </c>
      <c r="O9" s="8">
        <f>IFERROR(INDEX('Ingredient Database'!$N$5:$N$38,MATCH($A9,'Ingredient Database'!$A$5:$A$38,0))*$C9,"check name")</f>
        <v>0</v>
      </c>
      <c r="P9" s="8">
        <f>IFERROR(INDEX('Ingredient Database'!$O$5:$O$38,MATCH($A9,'Ingredient Database'!$A$5:$A$38,0))*$C9,"check name")</f>
        <v>0</v>
      </c>
    </row>
    <row r="10" spans="1:16" ht="27" x14ac:dyDescent="0.3">
      <c r="A10" s="4" t="s">
        <v>29</v>
      </c>
      <c r="B10" s="5" t="s">
        <v>72</v>
      </c>
      <c r="C10" s="7">
        <v>1.5</v>
      </c>
      <c r="D10" s="8">
        <f>IFERROR(INDEX('Ingredient Database'!$C$5:$C$38,MATCH($A10,'Ingredient Database'!$A$5:$A$38,0))*$C10,"check name")</f>
        <v>247.5</v>
      </c>
      <c r="E10" s="8">
        <f>IFERROR(INDEX('Ingredient Database'!$D$5:$D$38,MATCH($A10,'Ingredient Database'!$A$5:$A$38,0))*$C10,"check name")</f>
        <v>39</v>
      </c>
      <c r="F10" s="8">
        <f>IFERROR(INDEX('Ingredient Database'!$E$5:$E$38,MATCH($A10,'Ingredient Database'!$A$5:$A$38,0))*$C10,"check name")</f>
        <v>6</v>
      </c>
      <c r="G10" s="8">
        <f>IFERROR(INDEX('Ingredient Database'!$F$5:$F$38,MATCH($A10,'Ingredient Database'!$A$5:$A$38,0))*$C10,"check name")</f>
        <v>6</v>
      </c>
      <c r="H10" s="8">
        <f>IFERROR(INDEX('Ingredient Database'!$G$5:$G$38,MATCH($A10,'Ingredient Database'!$A$5:$A$38,0))*$C10,"check name")</f>
        <v>1.5</v>
      </c>
      <c r="I10" s="8">
        <f>IFERROR(INDEX('Ingredient Database'!$H$5:$H$38,MATCH($A10,'Ingredient Database'!$A$5:$A$38,0))*$C10,"check name")</f>
        <v>5.25</v>
      </c>
      <c r="J10" s="8">
        <f>IFERROR(INDEX('Ingredient Database'!$I$5:$I$38,MATCH($A10,'Ingredient Database'!$A$5:$A$38,0))*$C10,"check name")</f>
        <v>30</v>
      </c>
      <c r="K10" s="8">
        <f>IFERROR(INDEX('Ingredient Database'!$J$5:$J$38,MATCH($A10,'Ingredient Database'!$A$5:$A$38,0))*$C10,"check name")</f>
        <v>37.5</v>
      </c>
      <c r="L10" s="8">
        <f>IFERROR(INDEX('Ingredient Database'!$K$5:$K$38,MATCH($A10,'Ingredient Database'!$A$5:$A$38,0))*$C10,"check name")</f>
        <v>135</v>
      </c>
      <c r="M10" s="8">
        <f>IFERROR(INDEX('Ingredient Database'!$L$5:$L$38,MATCH($A10,'Ingredient Database'!$A$5:$A$38,0))*$C10,"check name")</f>
        <v>1.7999999999999998</v>
      </c>
      <c r="N10" s="8">
        <f>IFERROR(INDEX('Ingredient Database'!$M$5:$M$38,MATCH($A10,'Ingredient Database'!$A$5:$A$38,0))*$C10,"check name")</f>
        <v>0</v>
      </c>
      <c r="O10" s="8">
        <f>IFERROR(INDEX('Ingredient Database'!$N$5:$N$38,MATCH($A10,'Ingredient Database'!$A$5:$A$38,0))*$C10,"check name")</f>
        <v>0</v>
      </c>
      <c r="P10" s="8">
        <f>IFERROR(INDEX('Ingredient Database'!$O$5:$O$38,MATCH($A10,'Ingredient Database'!$A$5:$A$38,0))*$C10,"check name")</f>
        <v>7.5</v>
      </c>
    </row>
    <row r="11" spans="1:16" x14ac:dyDescent="0.3">
      <c r="A11" s="4" t="s">
        <v>26</v>
      </c>
      <c r="B11" s="5" t="s">
        <v>73</v>
      </c>
      <c r="C11" s="7">
        <v>7.4999999999999997E-2</v>
      </c>
      <c r="D11" s="8">
        <f>IFERROR(INDEX('Ingredient Database'!$C$5:$C$38,MATCH($A11,'Ingredient Database'!$A$5:$A$38,0))*$C11,"check name")</f>
        <v>66.3</v>
      </c>
      <c r="E11" s="8">
        <f>IFERROR(INDEX('Ingredient Database'!$D$5:$D$38,MATCH($A11,'Ingredient Database'!$A$5:$A$38,0))*$C11,"check name")</f>
        <v>0</v>
      </c>
      <c r="F11" s="8">
        <f>IFERROR(INDEX('Ingredient Database'!$E$5:$E$38,MATCH($A11,'Ingredient Database'!$A$5:$A$38,0))*$C11,"check name")</f>
        <v>0</v>
      </c>
      <c r="G11" s="8">
        <f>IFERROR(INDEX('Ingredient Database'!$F$5:$F$38,MATCH($A11,'Ingredient Database'!$A$5:$A$38,0))*$C11,"check name")</f>
        <v>7.5</v>
      </c>
      <c r="H11" s="8">
        <f>IFERROR(INDEX('Ingredient Database'!$G$5:$G$38,MATCH($A11,'Ingredient Database'!$A$5:$A$38,0))*$C11,"check name")</f>
        <v>0</v>
      </c>
      <c r="I11" s="8">
        <f>IFERROR(INDEX('Ingredient Database'!$H$5:$H$38,MATCH($A11,'Ingredient Database'!$A$5:$A$38,0))*$C11,"check name")</f>
        <v>0</v>
      </c>
      <c r="J11" s="8">
        <f>IFERROR(INDEX('Ingredient Database'!$I$5:$I$38,MATCH($A11,'Ingredient Database'!$A$5:$A$38,0))*$C11,"check name")</f>
        <v>0</v>
      </c>
      <c r="K11" s="8">
        <f>IFERROR(INDEX('Ingredient Database'!$J$5:$J$38,MATCH($A11,'Ingredient Database'!$A$5:$A$38,0))*$C11,"check name")</f>
        <v>0</v>
      </c>
      <c r="L11" s="8">
        <f>IFERROR(INDEX('Ingredient Database'!$K$5:$K$38,MATCH($A11,'Ingredient Database'!$A$5:$A$38,0))*$C11,"check name")</f>
        <v>0</v>
      </c>
      <c r="M11" s="8">
        <f>IFERROR(INDEX('Ingredient Database'!$L$5:$L$38,MATCH($A11,'Ingredient Database'!$A$5:$A$38,0))*$C11,"check name")</f>
        <v>0</v>
      </c>
      <c r="N11" s="8">
        <f>IFERROR(INDEX('Ingredient Database'!$M$5:$M$38,MATCH($A11,'Ingredient Database'!$A$5:$A$38,0))*$C11,"check name")</f>
        <v>0</v>
      </c>
      <c r="O11" s="8">
        <f>IFERROR(INDEX('Ingredient Database'!$N$5:$N$38,MATCH($A11,'Ingredient Database'!$A$5:$A$38,0))*$C11,"check name")</f>
        <v>0</v>
      </c>
      <c r="P11" s="8">
        <f>IFERROR(INDEX('Ingredient Database'!$O$5:$O$38,MATCH($A11,'Ingredient Database'!$A$5:$A$38,0))*$C11,"check name")</f>
        <v>0</v>
      </c>
    </row>
    <row r="12" spans="1:16" x14ac:dyDescent="0.3">
      <c r="A12" s="4" t="s">
        <v>27</v>
      </c>
      <c r="B12" s="5" t="s">
        <v>74</v>
      </c>
      <c r="C12" s="7">
        <v>1</v>
      </c>
      <c r="D12" s="8">
        <f>IFERROR(INDEX('Ingredient Database'!$C$5:$C$38,MATCH($A12,'Ingredient Database'!$A$5:$A$38,0))*$C12,"check name")</f>
        <v>4.5</v>
      </c>
      <c r="E12" s="8">
        <f>IFERROR(INDEX('Ingredient Database'!$D$5:$D$38,MATCH($A12,'Ingredient Database'!$A$5:$A$38,0))*$C12,"check name")</f>
        <v>0.19</v>
      </c>
      <c r="F12" s="8">
        <f>IFERROR(INDEX('Ingredient Database'!$E$5:$E$38,MATCH($A12,'Ingredient Database'!$A$5:$A$38,0))*$C12,"check name")</f>
        <v>1</v>
      </c>
      <c r="G12" s="8">
        <f>IFERROR(INDEX('Ingredient Database'!$F$5:$F$38,MATCH($A12,'Ingredient Database'!$A$5:$A$38,0))*$C12,"check name")</f>
        <v>0.02</v>
      </c>
      <c r="H12" s="8">
        <f>IFERROR(INDEX('Ingredient Database'!$G$5:$G$38,MATCH($A12,'Ingredient Database'!$A$5:$A$38,0))*$C12,"check name")</f>
        <v>0</v>
      </c>
      <c r="I12" s="8">
        <f>IFERROR(INDEX('Ingredient Database'!$H$5:$H$38,MATCH($A12,'Ingredient Database'!$A$5:$A$38,0))*$C12,"check name")</f>
        <v>0.05</v>
      </c>
      <c r="J12" s="8">
        <f>IFERROR(INDEX('Ingredient Database'!$I$5:$I$38,MATCH($A12,'Ingredient Database'!$A$5:$A$38,0))*$C12,"check name")</f>
        <v>5</v>
      </c>
      <c r="K12" s="8">
        <f>IFERROR(INDEX('Ingredient Database'!$J$5:$J$38,MATCH($A12,'Ingredient Database'!$A$5:$A$38,0))*$C12,"check name")</f>
        <v>0</v>
      </c>
      <c r="L12" s="8">
        <f>IFERROR(INDEX('Ingredient Database'!$K$5:$K$38,MATCH($A12,'Ingredient Database'!$A$5:$A$38,0))*$C12,"check name")</f>
        <v>12</v>
      </c>
      <c r="M12" s="8">
        <f>IFERROR(INDEX('Ingredient Database'!$L$5:$L$38,MATCH($A12,'Ingredient Database'!$A$5:$A$38,0))*$C12,"check name")</f>
        <v>0</v>
      </c>
      <c r="N12" s="8">
        <f>IFERROR(INDEX('Ingredient Database'!$M$5:$M$38,MATCH($A12,'Ingredient Database'!$A$5:$A$38,0))*$C12,"check name")</f>
        <v>0</v>
      </c>
      <c r="O12" s="8">
        <f>IFERROR(INDEX('Ingredient Database'!$N$5:$N$38,MATCH($A12,'Ingredient Database'!$A$5:$A$38,0))*$C12,"check name")</f>
        <v>0</v>
      </c>
      <c r="P12" s="8">
        <f>IFERROR(INDEX('Ingredient Database'!$O$5:$O$38,MATCH($A12,'Ingredient Database'!$A$5:$A$38,0))*$C12,"check name")</f>
        <v>0</v>
      </c>
    </row>
    <row r="13" spans="1:16" x14ac:dyDescent="0.3">
      <c r="A13" s="4" t="s">
        <v>37</v>
      </c>
      <c r="B13" s="5" t="s">
        <v>75</v>
      </c>
      <c r="C13" s="7">
        <v>0.01</v>
      </c>
      <c r="D13" s="8">
        <f>IFERROR(INDEX('Ingredient Database'!$C$5:$C$38,MATCH($A13,'Ingredient Database'!$A$5:$A$38,0))*$C13,"check name")</f>
        <v>0.23</v>
      </c>
      <c r="E13" s="8">
        <f>IFERROR(INDEX('Ingredient Database'!$D$5:$D$38,MATCH($A13,'Ingredient Database'!$A$5:$A$38,0))*$C13,"check name")</f>
        <v>2.1000000000000001E-2</v>
      </c>
      <c r="F13" s="8">
        <f>IFERROR(INDEX('Ingredient Database'!$E$5:$E$38,MATCH($A13,'Ingredient Database'!$A$5:$A$38,0))*$C13,"check name")</f>
        <v>3.7000000000000005E-2</v>
      </c>
      <c r="G13" s="8">
        <f>IFERROR(INDEX('Ingredient Database'!$F$5:$F$38,MATCH($A13,'Ingredient Database'!$A$5:$A$38,0))*$C13,"check name")</f>
        <v>5.0000000000000001E-3</v>
      </c>
      <c r="H13" s="8">
        <f>IFERROR(INDEX('Ingredient Database'!$G$5:$G$38,MATCH($A13,'Ingredient Database'!$A$5:$A$38,0))*$C13,"check name")</f>
        <v>2.7999999999999997E-2</v>
      </c>
      <c r="I13" s="8">
        <f>IFERROR(INDEX('Ingredient Database'!$H$5:$H$38,MATCH($A13,'Ingredient Database'!$A$5:$A$38,0))*$C13,"check name")</f>
        <v>1.8000000000000002E-2</v>
      </c>
      <c r="J13" s="8">
        <f>IFERROR(INDEX('Ingredient Database'!$I$5:$I$38,MATCH($A13,'Ingredient Database'!$A$5:$A$38,0))*$C13,"check name")</f>
        <v>0.67</v>
      </c>
      <c r="K13" s="8">
        <f>IFERROR(INDEX('Ingredient Database'!$J$5:$J$38,MATCH($A13,'Ingredient Database'!$A$5:$A$38,0))*$C13,"check name")</f>
        <v>0.26</v>
      </c>
      <c r="L13" s="8">
        <f>IFERROR(INDEX('Ingredient Database'!$K$5:$K$38,MATCH($A13,'Ingredient Database'!$A$5:$A$38,0))*$C13,"check name")</f>
        <v>5.21</v>
      </c>
      <c r="M13" s="8">
        <f>IFERROR(INDEX('Ingredient Database'!$L$5:$L$38,MATCH($A13,'Ingredient Database'!$A$5:$A$38,0))*$C13,"check name")</f>
        <v>5.0000000000000001E-3</v>
      </c>
      <c r="N13" s="8">
        <f>IFERROR(INDEX('Ingredient Database'!$M$5:$M$38,MATCH($A13,'Ingredient Database'!$A$5:$A$38,0))*$C13,"check name")</f>
        <v>3.37</v>
      </c>
      <c r="O13" s="8">
        <f>IFERROR(INDEX('Ingredient Database'!$N$5:$N$38,MATCH($A13,'Ingredient Database'!$A$5:$A$38,0))*$C13,"check name")</f>
        <v>0.27</v>
      </c>
      <c r="P13" s="8">
        <f>IFERROR(INDEX('Ingredient Database'!$O$5:$O$38,MATCH($A13,'Ingredient Database'!$A$5:$A$38,0))*$C13,"check name")</f>
        <v>0.62</v>
      </c>
    </row>
    <row r="14" spans="1:16" x14ac:dyDescent="0.3">
      <c r="A14" s="9" t="s">
        <v>64</v>
      </c>
      <c r="B14" s="10"/>
      <c r="C14" s="10"/>
      <c r="D14" s="11">
        <f t="shared" ref="D14:P14" si="0">SUM(D5:D13)</f>
        <v>760.0619999999999</v>
      </c>
      <c r="E14" s="11">
        <f t="shared" si="0"/>
        <v>53.191000000000003</v>
      </c>
      <c r="F14" s="11">
        <f t="shared" si="0"/>
        <v>90.887000000000015</v>
      </c>
      <c r="G14" s="11">
        <f t="shared" si="0"/>
        <v>18.619999999999997</v>
      </c>
      <c r="H14" s="11">
        <f t="shared" si="0"/>
        <v>9.9929999999999986</v>
      </c>
      <c r="I14" s="11">
        <f t="shared" si="0"/>
        <v>10.468</v>
      </c>
      <c r="J14" s="11">
        <f t="shared" si="0"/>
        <v>91.67</v>
      </c>
      <c r="K14" s="11">
        <f t="shared" si="0"/>
        <v>109.86</v>
      </c>
      <c r="L14" s="11">
        <f t="shared" si="0"/>
        <v>610.26</v>
      </c>
      <c r="M14" s="11">
        <f t="shared" si="0"/>
        <v>4.28</v>
      </c>
      <c r="N14" s="11">
        <f t="shared" si="0"/>
        <v>22.720000000000002</v>
      </c>
      <c r="O14" s="11">
        <f t="shared" si="0"/>
        <v>14.744999999999999</v>
      </c>
      <c r="P14" s="11">
        <f t="shared" si="0"/>
        <v>248.37</v>
      </c>
    </row>
  </sheetData>
  <mergeCells count="2">
    <mergeCell ref="A1:P1"/>
    <mergeCell ref="A2:P2"/>
  </mergeCells>
  <pageMargins left="0.4" right="0.4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16" customWidth="1"/>
    <col min="3" max="3" width="12" customWidth="1"/>
    <col min="4" max="16" width="11" customWidth="1"/>
  </cols>
  <sheetData>
    <row r="1" spans="1:16" ht="21" x14ac:dyDescent="0.4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33.75" customHeight="1" x14ac:dyDescent="0.3">
      <c r="A4" s="3" t="s">
        <v>55</v>
      </c>
      <c r="B4" s="3" t="s">
        <v>56</v>
      </c>
      <c r="C4" s="3" t="s">
        <v>57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x14ac:dyDescent="0.3">
      <c r="A5" s="4" t="s">
        <v>30</v>
      </c>
      <c r="B5" s="5" t="s">
        <v>78</v>
      </c>
      <c r="C5" s="7">
        <v>0.9</v>
      </c>
      <c r="D5" s="8">
        <f>IFERROR(INDEX('Ingredient Database'!$C$5:$C$38,MATCH($A5,'Ingredient Database'!$A$5:$A$38,0))*$C5,"check name")</f>
        <v>299.7</v>
      </c>
      <c r="E5" s="8">
        <f>IFERROR(INDEX('Ingredient Database'!$D$5:$D$38,MATCH($A5,'Ingredient Database'!$A$5:$A$38,0))*$C5,"check name")</f>
        <v>8.01</v>
      </c>
      <c r="F5" s="8">
        <f>IFERROR(INDEX('Ingredient Database'!$E$5:$E$38,MATCH($A5,'Ingredient Database'!$A$5:$A$38,0))*$C5,"check name")</f>
        <v>50.4</v>
      </c>
      <c r="G5" s="8">
        <f>IFERROR(INDEX('Ingredient Database'!$F$5:$F$38,MATCH($A5,'Ingredient Database'!$A$5:$A$38,0))*$C5,"check name")</f>
        <v>7.02</v>
      </c>
      <c r="H5" s="8">
        <f>IFERROR(INDEX('Ingredient Database'!$G$5:$G$38,MATCH($A5,'Ingredient Database'!$A$5:$A$38,0))*$C5,"check name")</f>
        <v>2.25</v>
      </c>
      <c r="I5" s="8">
        <f>IFERROR(INDEX('Ingredient Database'!$H$5:$H$38,MATCH($A5,'Ingredient Database'!$A$5:$A$38,0))*$C5,"check name")</f>
        <v>2.3400000000000003</v>
      </c>
      <c r="J5" s="8">
        <f>IFERROR(INDEX('Ingredient Database'!$I$5:$I$38,MATCH($A5,'Ingredient Database'!$A$5:$A$38,0))*$C5,"check name")</f>
        <v>72</v>
      </c>
      <c r="K5" s="8">
        <f>IFERROR(INDEX('Ingredient Database'!$J$5:$J$38,MATCH($A5,'Ingredient Database'!$A$5:$A$38,0))*$C5,"check name")</f>
        <v>18</v>
      </c>
      <c r="L5" s="8">
        <f>IFERROR(INDEX('Ingredient Database'!$K$5:$K$38,MATCH($A5,'Ingredient Database'!$A$5:$A$38,0))*$C5,"check name")</f>
        <v>90</v>
      </c>
      <c r="M5" s="8">
        <f>IFERROR(INDEX('Ingredient Database'!$L$5:$L$38,MATCH($A5,'Ingredient Database'!$A$5:$A$38,0))*$C5,"check name")</f>
        <v>0.54</v>
      </c>
      <c r="N5" s="8">
        <f>IFERROR(INDEX('Ingredient Database'!$M$5:$M$38,MATCH($A5,'Ingredient Database'!$A$5:$A$38,0))*$C5,"check name")</f>
        <v>0</v>
      </c>
      <c r="O5" s="8">
        <f>IFERROR(INDEX('Ingredient Database'!$N$5:$N$38,MATCH($A5,'Ingredient Database'!$A$5:$A$38,0))*$C5,"check name")</f>
        <v>0</v>
      </c>
      <c r="P5" s="8">
        <f>IFERROR(INDEX('Ingredient Database'!$O$5:$O$38,MATCH($A5,'Ingredient Database'!$A$5:$A$38,0))*$C5,"check name")</f>
        <v>90</v>
      </c>
    </row>
    <row r="6" spans="1:16" ht="27" x14ac:dyDescent="0.3">
      <c r="A6" s="4" t="s">
        <v>29</v>
      </c>
      <c r="B6" s="5" t="s">
        <v>61</v>
      </c>
      <c r="C6" s="7">
        <v>0.5</v>
      </c>
      <c r="D6" s="8">
        <f>IFERROR(INDEX('Ingredient Database'!$C$5:$C$38,MATCH($A6,'Ingredient Database'!$A$5:$A$38,0))*$C6,"check name")</f>
        <v>82.5</v>
      </c>
      <c r="E6" s="8">
        <f>IFERROR(INDEX('Ingredient Database'!$D$5:$D$38,MATCH($A6,'Ingredient Database'!$A$5:$A$38,0))*$C6,"check name")</f>
        <v>13</v>
      </c>
      <c r="F6" s="8">
        <f>IFERROR(INDEX('Ingredient Database'!$E$5:$E$38,MATCH($A6,'Ingredient Database'!$A$5:$A$38,0))*$C6,"check name")</f>
        <v>2</v>
      </c>
      <c r="G6" s="8">
        <f>IFERROR(INDEX('Ingredient Database'!$F$5:$F$38,MATCH($A6,'Ingredient Database'!$A$5:$A$38,0))*$C6,"check name")</f>
        <v>2</v>
      </c>
      <c r="H6" s="8">
        <f>IFERROR(INDEX('Ingredient Database'!$G$5:$G$38,MATCH($A6,'Ingredient Database'!$A$5:$A$38,0))*$C6,"check name")</f>
        <v>0.5</v>
      </c>
      <c r="I6" s="8">
        <f>IFERROR(INDEX('Ingredient Database'!$H$5:$H$38,MATCH($A6,'Ingredient Database'!$A$5:$A$38,0))*$C6,"check name")</f>
        <v>1.75</v>
      </c>
      <c r="J6" s="8">
        <f>IFERROR(INDEX('Ingredient Database'!$I$5:$I$38,MATCH($A6,'Ingredient Database'!$A$5:$A$38,0))*$C6,"check name")</f>
        <v>10</v>
      </c>
      <c r="K6" s="8">
        <f>IFERROR(INDEX('Ingredient Database'!$J$5:$J$38,MATCH($A6,'Ingredient Database'!$A$5:$A$38,0))*$C6,"check name")</f>
        <v>12.5</v>
      </c>
      <c r="L6" s="8">
        <f>IFERROR(INDEX('Ingredient Database'!$K$5:$K$38,MATCH($A6,'Ingredient Database'!$A$5:$A$38,0))*$C6,"check name")</f>
        <v>45</v>
      </c>
      <c r="M6" s="8">
        <f>IFERROR(INDEX('Ingredient Database'!$L$5:$L$38,MATCH($A6,'Ingredient Database'!$A$5:$A$38,0))*$C6,"check name")</f>
        <v>0.6</v>
      </c>
      <c r="N6" s="8">
        <f>IFERROR(INDEX('Ingredient Database'!$M$5:$M$38,MATCH($A6,'Ingredient Database'!$A$5:$A$38,0))*$C6,"check name")</f>
        <v>0</v>
      </c>
      <c r="O6" s="8">
        <f>IFERROR(INDEX('Ingredient Database'!$N$5:$N$38,MATCH($A6,'Ingredient Database'!$A$5:$A$38,0))*$C6,"check name")</f>
        <v>0</v>
      </c>
      <c r="P6" s="8">
        <f>IFERROR(INDEX('Ingredient Database'!$O$5:$O$38,MATCH($A6,'Ingredient Database'!$A$5:$A$38,0))*$C6,"check name")</f>
        <v>2.5</v>
      </c>
    </row>
    <row r="7" spans="1:16" ht="27" x14ac:dyDescent="0.3">
      <c r="A7" s="4" t="s">
        <v>23</v>
      </c>
      <c r="B7" s="5" t="s">
        <v>79</v>
      </c>
      <c r="C7" s="7">
        <v>1.25</v>
      </c>
      <c r="D7" s="8">
        <f>IFERROR(INDEX('Ingredient Database'!$C$5:$C$38,MATCH($A7,'Ingredient Database'!$A$5:$A$38,0))*$C7,"check name")</f>
        <v>208.75</v>
      </c>
      <c r="E7" s="8">
        <f>IFERROR(INDEX('Ingredient Database'!$D$5:$D$38,MATCH($A7,'Ingredient Database'!$A$5:$A$38,0))*$C7,"check name")</f>
        <v>16.25</v>
      </c>
      <c r="F7" s="8">
        <f>IFERROR(INDEX('Ingredient Database'!$E$5:$E$38,MATCH($A7,'Ingredient Database'!$A$5:$A$38,0))*$C7,"check name")</f>
        <v>31.25</v>
      </c>
      <c r="G7" s="8">
        <f>IFERROR(INDEX('Ingredient Database'!$F$5:$F$38,MATCH($A7,'Ingredient Database'!$A$5:$A$38,0))*$C7,"check name")</f>
        <v>1.875</v>
      </c>
      <c r="H7" s="8">
        <f>IFERROR(INDEX('Ingredient Database'!$G$5:$G$38,MATCH($A7,'Ingredient Database'!$A$5:$A$38,0))*$C7,"check name")</f>
        <v>10</v>
      </c>
      <c r="I7" s="8">
        <f>IFERROR(INDEX('Ingredient Database'!$H$5:$H$38,MATCH($A7,'Ingredient Database'!$A$5:$A$38,0))*$C7,"check name")</f>
        <v>5.8999999999999995</v>
      </c>
      <c r="J7" s="8">
        <f>IFERROR(INDEX('Ingredient Database'!$I$5:$I$38,MATCH($A7,'Ingredient Database'!$A$5:$A$38,0))*$C7,"check name")</f>
        <v>31.25</v>
      </c>
      <c r="K7" s="8">
        <f>IFERROR(INDEX('Ingredient Database'!$J$5:$J$38,MATCH($A7,'Ingredient Database'!$A$5:$A$38,0))*$C7,"check name")</f>
        <v>56.25</v>
      </c>
      <c r="L7" s="8">
        <f>IFERROR(INDEX('Ingredient Database'!$K$5:$K$38,MATCH($A7,'Ingredient Database'!$A$5:$A$38,0))*$C7,"check name")</f>
        <v>462.5</v>
      </c>
      <c r="M7" s="8">
        <f>IFERROR(INDEX('Ingredient Database'!$L$5:$L$38,MATCH($A7,'Ingredient Database'!$A$5:$A$38,0))*$C7,"check name")</f>
        <v>2.5</v>
      </c>
      <c r="N7" s="8">
        <f>IFERROR(INDEX('Ingredient Database'!$M$5:$M$38,MATCH($A7,'Ingredient Database'!$A$5:$A$38,0))*$C7,"check name")</f>
        <v>0</v>
      </c>
      <c r="O7" s="8">
        <f>IFERROR(INDEX('Ingredient Database'!$N$5:$N$38,MATCH($A7,'Ingredient Database'!$A$5:$A$38,0))*$C7,"check name")</f>
        <v>2.5</v>
      </c>
      <c r="P7" s="8">
        <f>IFERROR(INDEX('Ingredient Database'!$O$5:$O$38,MATCH($A7,'Ingredient Database'!$A$5:$A$38,0))*$C7,"check name")</f>
        <v>225</v>
      </c>
    </row>
    <row r="8" spans="1:16" x14ac:dyDescent="0.3">
      <c r="A8" s="4" t="s">
        <v>20</v>
      </c>
      <c r="B8" s="5" t="s">
        <v>61</v>
      </c>
      <c r="C8" s="7">
        <v>0.5</v>
      </c>
      <c r="D8" s="8">
        <f>IFERROR(INDEX('Ingredient Database'!$C$5:$C$38,MATCH($A8,'Ingredient Database'!$A$5:$A$38,0))*$C8,"check name")</f>
        <v>61.5</v>
      </c>
      <c r="E8" s="8">
        <f>IFERROR(INDEX('Ingredient Database'!$D$5:$D$38,MATCH($A8,'Ingredient Database'!$A$5:$A$38,0))*$C8,"check name")</f>
        <v>1.3</v>
      </c>
      <c r="F8" s="8">
        <f>IFERROR(INDEX('Ingredient Database'!$E$5:$E$38,MATCH($A8,'Ingredient Database'!$A$5:$A$38,0))*$C8,"check name")</f>
        <v>13</v>
      </c>
      <c r="G8" s="8">
        <f>IFERROR(INDEX('Ingredient Database'!$F$5:$F$38,MATCH($A8,'Ingredient Database'!$A$5:$A$38,0))*$C8,"check name")</f>
        <v>0.1</v>
      </c>
      <c r="H8" s="8">
        <f>IFERROR(INDEX('Ingredient Database'!$G$5:$G$38,MATCH($A8,'Ingredient Database'!$A$5:$A$38,0))*$C8,"check name")</f>
        <v>0.2</v>
      </c>
      <c r="I8" s="8">
        <f>IFERROR(INDEX('Ingredient Database'!$H$5:$H$38,MATCH($A8,'Ingredient Database'!$A$5:$A$38,0))*$C8,"check name")</f>
        <v>0.25</v>
      </c>
      <c r="J8" s="8">
        <f>IFERROR(INDEX('Ingredient Database'!$I$5:$I$38,MATCH($A8,'Ingredient Database'!$A$5:$A$38,0))*$C8,"check name")</f>
        <v>1.5</v>
      </c>
      <c r="K8" s="8">
        <f>IFERROR(INDEX('Ingredient Database'!$J$5:$J$38,MATCH($A8,'Ingredient Database'!$A$5:$A$38,0))*$C8,"check name")</f>
        <v>7.5</v>
      </c>
      <c r="L8" s="8">
        <f>IFERROR(INDEX('Ingredient Database'!$K$5:$K$38,MATCH($A8,'Ingredient Database'!$A$5:$A$38,0))*$C8,"check name")</f>
        <v>22.5</v>
      </c>
      <c r="M8" s="8">
        <f>IFERROR(INDEX('Ingredient Database'!$L$5:$L$38,MATCH($A8,'Ingredient Database'!$A$5:$A$38,0))*$C8,"check name")</f>
        <v>0.25</v>
      </c>
      <c r="N8" s="8">
        <f>IFERROR(INDEX('Ingredient Database'!$M$5:$M$38,MATCH($A8,'Ingredient Database'!$A$5:$A$38,0))*$C8,"check name")</f>
        <v>0</v>
      </c>
      <c r="O8" s="8">
        <f>IFERROR(INDEX('Ingredient Database'!$N$5:$N$38,MATCH($A8,'Ingredient Database'!$A$5:$A$38,0))*$C8,"check name")</f>
        <v>0</v>
      </c>
      <c r="P8" s="8">
        <f>IFERROR(INDEX('Ingredient Database'!$O$5:$O$38,MATCH($A8,'Ingredient Database'!$A$5:$A$38,0))*$C8,"check name")</f>
        <v>10</v>
      </c>
    </row>
    <row r="9" spans="1:16" x14ac:dyDescent="0.3">
      <c r="A9" s="4" t="s">
        <v>31</v>
      </c>
      <c r="B9" s="5" t="s">
        <v>80</v>
      </c>
      <c r="C9" s="7">
        <v>0.4</v>
      </c>
      <c r="D9" s="8">
        <f>IFERROR(INDEX('Ingredient Database'!$C$5:$C$38,MATCH($A9,'Ingredient Database'!$A$5:$A$38,0))*$C9,"check name")</f>
        <v>10</v>
      </c>
      <c r="E9" s="8">
        <f>IFERROR(INDEX('Ingredient Database'!$D$5:$D$38,MATCH($A9,'Ingredient Database'!$A$5:$A$38,0))*$C9,"check name")</f>
        <v>0.4</v>
      </c>
      <c r="F9" s="8">
        <f>IFERROR(INDEX('Ingredient Database'!$E$5:$E$38,MATCH($A9,'Ingredient Database'!$A$5:$A$38,0))*$C9,"check name")</f>
        <v>2.3000000000000003</v>
      </c>
      <c r="G9" s="8">
        <f>IFERROR(INDEX('Ingredient Database'!$F$5:$F$38,MATCH($A9,'Ingredient Database'!$A$5:$A$38,0))*$C9,"check name")</f>
        <v>0</v>
      </c>
      <c r="H9" s="8">
        <f>IFERROR(INDEX('Ingredient Database'!$G$5:$G$38,MATCH($A9,'Ingredient Database'!$A$5:$A$38,0))*$C9,"check name")</f>
        <v>0.60000000000000009</v>
      </c>
      <c r="I9" s="8">
        <f>IFERROR(INDEX('Ingredient Database'!$H$5:$H$38,MATCH($A9,'Ingredient Database'!$A$5:$A$38,0))*$C9,"check name")</f>
        <v>0.16000000000000003</v>
      </c>
      <c r="J9" s="8">
        <f>IFERROR(INDEX('Ingredient Database'!$I$5:$I$38,MATCH($A9,'Ingredient Database'!$A$5:$A$38,0))*$C9,"check name")</f>
        <v>12</v>
      </c>
      <c r="K9" s="8">
        <f>IFERROR(INDEX('Ingredient Database'!$J$5:$J$38,MATCH($A9,'Ingredient Database'!$A$5:$A$38,0))*$C9,"check name")</f>
        <v>4</v>
      </c>
      <c r="L9" s="8">
        <f>IFERROR(INDEX('Ingredient Database'!$K$5:$K$38,MATCH($A9,'Ingredient Database'!$A$5:$A$38,0))*$C9,"check name")</f>
        <v>72</v>
      </c>
      <c r="M9" s="8">
        <f>IFERROR(INDEX('Ingredient Database'!$L$5:$L$38,MATCH($A9,'Ingredient Database'!$A$5:$A$38,0))*$C9,"check name")</f>
        <v>8.0000000000000016E-2</v>
      </c>
      <c r="N9" s="8">
        <f>IFERROR(INDEX('Ingredient Database'!$M$5:$M$38,MATCH($A9,'Ingredient Database'!$A$5:$A$38,0))*$C9,"check name")</f>
        <v>32</v>
      </c>
      <c r="O9" s="8">
        <f>IFERROR(INDEX('Ingredient Database'!$N$5:$N$38,MATCH($A9,'Ingredient Database'!$A$5:$A$38,0))*$C9,"check name")</f>
        <v>10</v>
      </c>
      <c r="P9" s="8">
        <f>IFERROR(INDEX('Ingredient Database'!$O$5:$O$38,MATCH($A9,'Ingredient Database'!$A$5:$A$38,0))*$C9,"check name")</f>
        <v>8</v>
      </c>
    </row>
    <row r="10" spans="1:16" x14ac:dyDescent="0.3">
      <c r="A10" s="9" t="s">
        <v>64</v>
      </c>
      <c r="B10" s="10"/>
      <c r="C10" s="10"/>
      <c r="D10" s="11">
        <f t="shared" ref="D10:P10" si="0">SUM(D5:D9)</f>
        <v>662.45</v>
      </c>
      <c r="E10" s="11">
        <f t="shared" si="0"/>
        <v>38.959999999999994</v>
      </c>
      <c r="F10" s="11">
        <f t="shared" si="0"/>
        <v>98.95</v>
      </c>
      <c r="G10" s="11">
        <f t="shared" si="0"/>
        <v>10.994999999999999</v>
      </c>
      <c r="H10" s="11">
        <f t="shared" si="0"/>
        <v>13.549999999999999</v>
      </c>
      <c r="I10" s="11">
        <f t="shared" si="0"/>
        <v>10.399999999999999</v>
      </c>
      <c r="J10" s="11">
        <f t="shared" si="0"/>
        <v>126.75</v>
      </c>
      <c r="K10" s="11">
        <f t="shared" si="0"/>
        <v>98.25</v>
      </c>
      <c r="L10" s="11">
        <f t="shared" si="0"/>
        <v>692</v>
      </c>
      <c r="M10" s="11">
        <f t="shared" si="0"/>
        <v>3.97</v>
      </c>
      <c r="N10" s="11">
        <f t="shared" si="0"/>
        <v>32</v>
      </c>
      <c r="O10" s="11">
        <f t="shared" si="0"/>
        <v>12.5</v>
      </c>
      <c r="P10" s="11">
        <f t="shared" si="0"/>
        <v>335.5</v>
      </c>
    </row>
  </sheetData>
  <mergeCells count="2">
    <mergeCell ref="A1:P1"/>
    <mergeCell ref="A2:P2"/>
  </mergeCells>
  <pageMargins left="0.4" right="0.4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16" customWidth="1"/>
    <col min="3" max="3" width="12" customWidth="1"/>
    <col min="4" max="16" width="11" customWidth="1"/>
  </cols>
  <sheetData>
    <row r="1" spans="1:16" ht="21" x14ac:dyDescent="0.4">
      <c r="A1" s="2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33.75" customHeight="1" x14ac:dyDescent="0.3">
      <c r="A4" s="3" t="s">
        <v>55</v>
      </c>
      <c r="B4" s="3" t="s">
        <v>56</v>
      </c>
      <c r="C4" s="3" t="s">
        <v>57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x14ac:dyDescent="0.3">
      <c r="A5" s="4" t="s">
        <v>39</v>
      </c>
      <c r="B5" s="5" t="s">
        <v>83</v>
      </c>
      <c r="C5" s="7">
        <v>1.8</v>
      </c>
      <c r="D5" s="8">
        <f>IFERROR(INDEX('Ingredient Database'!$C$5:$C$38,MATCH($A5,'Ingredient Database'!$A$5:$A$38,0))*$C5,"check name")</f>
        <v>700.2</v>
      </c>
      <c r="E5" s="8">
        <f>IFERROR(INDEX('Ingredient Database'!$D$5:$D$38,MATCH($A5,'Ingredient Database'!$A$5:$A$38,0))*$C5,"check name")</f>
        <v>30.419999999999998</v>
      </c>
      <c r="F5" s="8">
        <f>IFERROR(INDEX('Ingredient Database'!$E$5:$E$38,MATCH($A5,'Ingredient Database'!$A$5:$A$38,0))*$C5,"check name")</f>
        <v>119.34</v>
      </c>
      <c r="G5" s="8">
        <f>IFERROR(INDEX('Ingredient Database'!$F$5:$F$38,MATCH($A5,'Ingredient Database'!$A$5:$A$38,0))*$C5,"check name")</f>
        <v>12.420000000000002</v>
      </c>
      <c r="H5" s="8">
        <f>IFERROR(INDEX('Ingredient Database'!$G$5:$G$38,MATCH($A5,'Ingredient Database'!$A$5:$A$38,0))*$C5,"check name")</f>
        <v>19.079999999999998</v>
      </c>
      <c r="I5" s="8">
        <f>IFERROR(INDEX('Ingredient Database'!$H$5:$H$38,MATCH($A5,'Ingredient Database'!$A$5:$A$38,0))*$C5,"check name")</f>
        <v>8.4600000000000009</v>
      </c>
      <c r="J5" s="8">
        <f>IFERROR(INDEX('Ingredient Database'!$I$5:$I$38,MATCH($A5,'Ingredient Database'!$A$5:$A$38,0))*$C5,"check name")</f>
        <v>97.2</v>
      </c>
      <c r="K5" s="8">
        <f>IFERROR(INDEX('Ingredient Database'!$J$5:$J$38,MATCH($A5,'Ingredient Database'!$A$5:$A$38,0))*$C5,"check name")</f>
        <v>248.4</v>
      </c>
      <c r="L5" s="8">
        <f>IFERROR(INDEX('Ingredient Database'!$K$5:$K$38,MATCH($A5,'Ingredient Database'!$A$5:$A$38,0))*$C5,"check name")</f>
        <v>772.2</v>
      </c>
      <c r="M5" s="8">
        <f>IFERROR(INDEX('Ingredient Database'!$L$5:$L$38,MATCH($A5,'Ingredient Database'!$A$5:$A$38,0))*$C5,"check name")</f>
        <v>7.1460000000000008</v>
      </c>
      <c r="N5" s="8">
        <f>IFERROR(INDEX('Ingredient Database'!$M$5:$M$38,MATCH($A5,'Ingredient Database'!$A$5:$A$38,0))*$C5,"check name")</f>
        <v>0</v>
      </c>
      <c r="O5" s="8">
        <f>IFERROR(INDEX('Ingredient Database'!$N$5:$N$38,MATCH($A5,'Ingredient Database'!$A$5:$A$38,0))*$C5,"check name")</f>
        <v>0</v>
      </c>
      <c r="P5" s="8">
        <f>IFERROR(INDEX('Ingredient Database'!$O$5:$O$38,MATCH($A5,'Ingredient Database'!$A$5:$A$38,0))*$C5,"check name")</f>
        <v>100.8</v>
      </c>
    </row>
    <row r="6" spans="1:16" x14ac:dyDescent="0.3">
      <c r="A6" s="4" t="s">
        <v>40</v>
      </c>
      <c r="B6" s="5" t="s">
        <v>84</v>
      </c>
      <c r="C6" s="7">
        <v>1.4</v>
      </c>
      <c r="D6" s="8">
        <f>IFERROR(INDEX('Ingredient Database'!$C$5:$C$38,MATCH($A6,'Ingredient Database'!$A$5:$A$38,0))*$C6,"check name")</f>
        <v>509.59999999999997</v>
      </c>
      <c r="E6" s="8">
        <f>IFERROR(INDEX('Ingredient Database'!$D$5:$D$38,MATCH($A6,'Ingredient Database'!$A$5:$A$38,0))*$C6,"check name")</f>
        <v>14.42</v>
      </c>
      <c r="F6" s="8">
        <f>IFERROR(INDEX('Ingredient Database'!$E$5:$E$38,MATCH($A6,'Ingredient Database'!$A$5:$A$38,0))*$C6,"check name")</f>
        <v>106.82</v>
      </c>
      <c r="G6" s="8">
        <f>IFERROR(INDEX('Ingredient Database'!$F$5:$F$38,MATCH($A6,'Ingredient Database'!$A$5:$A$38,0))*$C6,"check name")</f>
        <v>1.4</v>
      </c>
      <c r="H6" s="8">
        <f>IFERROR(INDEX('Ingredient Database'!$G$5:$G$38,MATCH($A6,'Ingredient Database'!$A$5:$A$38,0))*$C6,"check name")</f>
        <v>3.78</v>
      </c>
      <c r="I6" s="8">
        <f>IFERROR(INDEX('Ingredient Database'!$H$5:$H$38,MATCH($A6,'Ingredient Database'!$A$5:$A$38,0))*$C6,"check name")</f>
        <v>6.4399999999999995</v>
      </c>
      <c r="J6" s="8">
        <f>IFERROR(INDEX('Ingredient Database'!$I$5:$I$38,MATCH($A6,'Ingredient Database'!$A$5:$A$38,0))*$C6,"check name")</f>
        <v>21</v>
      </c>
      <c r="K6" s="8">
        <f>IFERROR(INDEX('Ingredient Database'!$J$5:$J$38,MATCH($A6,'Ingredient Database'!$A$5:$A$38,0))*$C6,"check name")</f>
        <v>30.799999999999997</v>
      </c>
      <c r="L6" s="8">
        <f>IFERROR(INDEX('Ingredient Database'!$K$5:$K$38,MATCH($A6,'Ingredient Database'!$A$5:$A$38,0))*$C6,"check name")</f>
        <v>149.79999999999998</v>
      </c>
      <c r="M6" s="8">
        <f>IFERROR(INDEX('Ingredient Database'!$L$5:$L$38,MATCH($A6,'Ingredient Database'!$A$5:$A$38,0))*$C6,"check name")</f>
        <v>0.97999999999999987</v>
      </c>
      <c r="N6" s="8">
        <f>IFERROR(INDEX('Ingredient Database'!$M$5:$M$38,MATCH($A6,'Ingredient Database'!$A$5:$A$38,0))*$C6,"check name")</f>
        <v>0</v>
      </c>
      <c r="O6" s="8">
        <f>IFERROR(INDEX('Ingredient Database'!$N$5:$N$38,MATCH($A6,'Ingredient Database'!$A$5:$A$38,0))*$C6,"check name")</f>
        <v>0</v>
      </c>
      <c r="P6" s="8">
        <f>IFERROR(INDEX('Ingredient Database'!$O$5:$O$38,MATCH($A6,'Ingredient Database'!$A$5:$A$38,0))*$C6,"check name")</f>
        <v>256.2</v>
      </c>
    </row>
    <row r="7" spans="1:16" x14ac:dyDescent="0.3">
      <c r="A7" s="4" t="s">
        <v>41</v>
      </c>
      <c r="B7" s="5" t="s">
        <v>85</v>
      </c>
      <c r="C7" s="7">
        <v>0.36</v>
      </c>
      <c r="D7" s="8">
        <f>IFERROR(INDEX('Ingredient Database'!$C$5:$C$38,MATCH($A7,'Ingredient Database'!$A$5:$A$38,0))*$C7,"check name")</f>
        <v>174.95999999999998</v>
      </c>
      <c r="E7" s="8">
        <f>IFERROR(INDEX('Ingredient Database'!$D$5:$D$38,MATCH($A7,'Ingredient Database'!$A$5:$A$38,0))*$C7,"check name")</f>
        <v>5.9399999999999995</v>
      </c>
      <c r="F7" s="8">
        <f>IFERROR(INDEX('Ingredient Database'!$E$5:$E$38,MATCH($A7,'Ingredient Database'!$A$5:$A$38,0))*$C7,"check name")</f>
        <v>15.156000000000001</v>
      </c>
      <c r="G7" s="8">
        <f>IFERROR(INDEX('Ingredient Database'!$F$5:$F$38,MATCH($A7,'Ingredient Database'!$A$5:$A$38,0))*$C7,"check name")</f>
        <v>11.052</v>
      </c>
      <c r="H7" s="8">
        <f>IFERROR(INDEX('Ingredient Database'!$G$5:$G$38,MATCH($A7,'Ingredient Database'!$A$5:$A$38,0))*$C7,"check name")</f>
        <v>12.383999999999999</v>
      </c>
      <c r="I7" s="8">
        <f>IFERROR(INDEX('Ingredient Database'!$H$5:$H$38,MATCH($A7,'Ingredient Database'!$A$5:$A$38,0))*$C7,"check name")</f>
        <v>2.7719999999999998</v>
      </c>
      <c r="J7" s="8">
        <f>IFERROR(INDEX('Ingredient Database'!$I$5:$I$38,MATCH($A7,'Ingredient Database'!$A$5:$A$38,0))*$C7,"check name")</f>
        <v>227.16</v>
      </c>
      <c r="K7" s="8">
        <f>IFERROR(INDEX('Ingredient Database'!$J$5:$J$38,MATCH($A7,'Ingredient Database'!$A$5:$A$38,0))*$C7,"check name")</f>
        <v>120.6</v>
      </c>
      <c r="L7" s="8">
        <f>IFERROR(INDEX('Ingredient Database'!$K$5:$K$38,MATCH($A7,'Ingredient Database'!$A$5:$A$38,0))*$C7,"check name")</f>
        <v>146.51999999999998</v>
      </c>
      <c r="M7" s="8">
        <f>IFERROR(INDEX('Ingredient Database'!$L$5:$L$38,MATCH($A7,'Ingredient Database'!$A$5:$A$38,0))*$C7,"check name")</f>
        <v>1.6559999999999999</v>
      </c>
      <c r="N7" s="8">
        <f>IFERROR(INDEX('Ingredient Database'!$M$5:$M$38,MATCH($A7,'Ingredient Database'!$A$5:$A$38,0))*$C7,"check name")</f>
        <v>0</v>
      </c>
      <c r="O7" s="8">
        <f>IFERROR(INDEX('Ingredient Database'!$N$5:$N$38,MATCH($A7,'Ingredient Database'!$A$5:$A$38,0))*$C7,"check name")</f>
        <v>0</v>
      </c>
      <c r="P7" s="8">
        <f>IFERROR(INDEX('Ingredient Database'!$O$5:$O$38,MATCH($A7,'Ingredient Database'!$A$5:$A$38,0))*$C7,"check name")</f>
        <v>17.64</v>
      </c>
    </row>
    <row r="8" spans="1:16" x14ac:dyDescent="0.3">
      <c r="A8" s="4" t="s">
        <v>42</v>
      </c>
      <c r="B8" s="5" t="s">
        <v>86</v>
      </c>
      <c r="C8" s="7">
        <v>2.3E-2</v>
      </c>
      <c r="D8" s="8">
        <f>IFERROR(INDEX('Ingredient Database'!$C$5:$C$38,MATCH($A8,'Ingredient Database'!$A$5:$A$38,0))*$C8,"check name")</f>
        <v>5.681</v>
      </c>
      <c r="E8" s="8">
        <f>IFERROR(INDEX('Ingredient Database'!$D$5:$D$38,MATCH($A8,'Ingredient Database'!$A$5:$A$38,0))*$C8,"check name")</f>
        <v>9.1999999999999998E-2</v>
      </c>
      <c r="F8" s="8">
        <f>IFERROR(INDEX('Ingredient Database'!$E$5:$E$38,MATCH($A8,'Ingredient Database'!$A$5:$A$38,0))*$C8,"check name")</f>
        <v>1.863</v>
      </c>
      <c r="G8" s="8">
        <f>IFERROR(INDEX('Ingredient Database'!$F$5:$F$38,MATCH($A8,'Ingredient Database'!$A$5:$A$38,0))*$C8,"check name")</f>
        <v>2.76E-2</v>
      </c>
      <c r="H8" s="8">
        <f>IFERROR(INDEX('Ingredient Database'!$G$5:$G$38,MATCH($A8,'Ingredient Database'!$A$5:$A$38,0))*$C8,"check name")</f>
        <v>1.2190000000000001</v>
      </c>
      <c r="I8" s="8">
        <f>IFERROR(INDEX('Ingredient Database'!$H$5:$H$38,MATCH($A8,'Ingredient Database'!$A$5:$A$38,0))*$C8,"check name")</f>
        <v>0.19090000000000001</v>
      </c>
      <c r="J8" s="8">
        <f>IFERROR(INDEX('Ingredient Database'!$I$5:$I$38,MATCH($A8,'Ingredient Database'!$A$5:$A$38,0))*$C8,"check name")</f>
        <v>23.045999999999999</v>
      </c>
      <c r="K8" s="8">
        <f>IFERROR(INDEX('Ingredient Database'!$J$5:$J$38,MATCH($A8,'Ingredient Database'!$A$5:$A$38,0))*$C8,"check name")</f>
        <v>1.38</v>
      </c>
      <c r="L8" s="8">
        <f>IFERROR(INDEX('Ingredient Database'!$K$5:$K$38,MATCH($A8,'Ingredient Database'!$A$5:$A$38,0))*$C8,"check name")</f>
        <v>9.9130000000000003</v>
      </c>
      <c r="M8" s="8">
        <f>IFERROR(INDEX('Ingredient Database'!$L$5:$L$38,MATCH($A8,'Ingredient Database'!$A$5:$A$38,0))*$C8,"check name")</f>
        <v>4.1399999999999999E-2</v>
      </c>
      <c r="N8" s="8">
        <f>IFERROR(INDEX('Ingredient Database'!$M$5:$M$38,MATCH($A8,'Ingredient Database'!$A$5:$A$38,0))*$C8,"check name")</f>
        <v>2.3E-2</v>
      </c>
      <c r="O8" s="8">
        <f>IFERROR(INDEX('Ingredient Database'!$N$5:$N$38,MATCH($A8,'Ingredient Database'!$A$5:$A$38,0))*$C8,"check name")</f>
        <v>9.1999999999999998E-2</v>
      </c>
      <c r="P8" s="8">
        <f>IFERROR(INDEX('Ingredient Database'!$O$5:$O$38,MATCH($A8,'Ingredient Database'!$A$5:$A$38,0))*$C8,"check name")</f>
        <v>0.13800000000000001</v>
      </c>
    </row>
    <row r="9" spans="1:16" x14ac:dyDescent="0.3">
      <c r="A9" s="4" t="s">
        <v>43</v>
      </c>
      <c r="B9" s="5" t="s">
        <v>86</v>
      </c>
      <c r="C9" s="7">
        <v>2.3E-2</v>
      </c>
      <c r="D9" s="8">
        <f>IFERROR(INDEX('Ingredient Database'!$C$5:$C$38,MATCH($A9,'Ingredient Database'!$A$5:$A$38,0))*$C9,"check name")</f>
        <v>6.3019999999999996</v>
      </c>
      <c r="E9" s="8">
        <f>IFERROR(INDEX('Ingredient Database'!$D$5:$D$38,MATCH($A9,'Ingredient Database'!$A$5:$A$38,0))*$C9,"check name")</f>
        <v>0.13800000000000001</v>
      </c>
      <c r="F9" s="8">
        <f>IFERROR(INDEX('Ingredient Database'!$E$5:$E$38,MATCH($A9,'Ingredient Database'!$A$5:$A$38,0))*$C9,"check name")</f>
        <v>1.5065</v>
      </c>
      <c r="G9" s="8">
        <f>IFERROR(INDEX('Ingredient Database'!$F$5:$F$38,MATCH($A9,'Ingredient Database'!$A$5:$A$38,0))*$C9,"check name")</f>
        <v>0.29899999999999999</v>
      </c>
      <c r="H9" s="8">
        <f>IFERROR(INDEX('Ingredient Database'!$G$5:$G$38,MATCH($A9,'Ingredient Database'!$A$5:$A$38,0))*$C9,"check name")</f>
        <v>0.77969999999999995</v>
      </c>
      <c r="I9" s="8">
        <f>IFERROR(INDEX('Ingredient Database'!$H$5:$H$38,MATCH($A9,'Ingredient Database'!$A$5:$A$38,0))*$C9,"check name")</f>
        <v>0.27140000000000003</v>
      </c>
      <c r="J9" s="8">
        <f>IFERROR(INDEX('Ingredient Database'!$I$5:$I$38,MATCH($A9,'Ingredient Database'!$A$5:$A$38,0))*$C9,"check name")</f>
        <v>14.536</v>
      </c>
      <c r="K9" s="8">
        <f>IFERROR(INDEX('Ingredient Database'!$J$5:$J$38,MATCH($A9,'Ingredient Database'!$A$5:$A$38,0))*$C9,"check name")</f>
        <v>5.9569999999999999</v>
      </c>
      <c r="L9" s="8">
        <f>IFERROR(INDEX('Ingredient Database'!$K$5:$K$38,MATCH($A9,'Ingredient Database'!$A$5:$A$38,0))*$C9,"check name")</f>
        <v>23.46</v>
      </c>
      <c r="M9" s="8">
        <f>IFERROR(INDEX('Ingredient Database'!$L$5:$L$38,MATCH($A9,'Ingredient Database'!$A$5:$A$38,0))*$C9,"check name")</f>
        <v>5.2899999999999996E-2</v>
      </c>
      <c r="N9" s="8">
        <f>IFERROR(INDEX('Ingredient Database'!$M$5:$M$38,MATCH($A9,'Ingredient Database'!$A$5:$A$38,0))*$C9,"check name")</f>
        <v>0.13800000000000001</v>
      </c>
      <c r="O9" s="8">
        <f>IFERROR(INDEX('Ingredient Database'!$N$5:$N$38,MATCH($A9,'Ingredient Database'!$A$5:$A$38,0))*$C9,"check name")</f>
        <v>0</v>
      </c>
      <c r="P9" s="8">
        <f>IFERROR(INDEX('Ingredient Database'!$O$5:$O$38,MATCH($A9,'Ingredient Database'!$A$5:$A$38,0))*$C9,"check name")</f>
        <v>0</v>
      </c>
    </row>
    <row r="10" spans="1:16" x14ac:dyDescent="0.3">
      <c r="A10" s="4" t="s">
        <v>44</v>
      </c>
      <c r="B10" s="5" t="s">
        <v>87</v>
      </c>
      <c r="C10" s="7">
        <v>0.79</v>
      </c>
      <c r="D10" s="8">
        <f>IFERROR(INDEX('Ingredient Database'!$C$5:$C$38,MATCH($A10,'Ingredient Database'!$A$5:$A$38,0))*$C10,"check name")</f>
        <v>205.4</v>
      </c>
      <c r="E10" s="8">
        <f>IFERROR(INDEX('Ingredient Database'!$D$5:$D$38,MATCH($A10,'Ingredient Database'!$A$5:$A$38,0))*$C10,"check name")</f>
        <v>0</v>
      </c>
      <c r="F10" s="8">
        <f>IFERROR(INDEX('Ingredient Database'!$E$5:$E$38,MATCH($A10,'Ingredient Database'!$A$5:$A$38,0))*$C10,"check name")</f>
        <v>52.93</v>
      </c>
      <c r="G10" s="8">
        <f>IFERROR(INDEX('Ingredient Database'!$F$5:$F$38,MATCH($A10,'Ingredient Database'!$A$5:$A$38,0))*$C10,"check name")</f>
        <v>0</v>
      </c>
      <c r="H10" s="8">
        <f>IFERROR(INDEX('Ingredient Database'!$G$5:$G$38,MATCH($A10,'Ingredient Database'!$A$5:$A$38,0))*$C10,"check name")</f>
        <v>0</v>
      </c>
      <c r="I10" s="8">
        <f>IFERROR(INDEX('Ingredient Database'!$H$5:$H$38,MATCH($A10,'Ingredient Database'!$A$5:$A$38,0))*$C10,"check name")</f>
        <v>8.6900000000000005E-2</v>
      </c>
      <c r="J10" s="8">
        <f>IFERROR(INDEX('Ingredient Database'!$I$5:$I$38,MATCH($A10,'Ingredient Database'!$A$5:$A$38,0))*$C10,"check name")</f>
        <v>80.58</v>
      </c>
      <c r="K10" s="8">
        <f>IFERROR(INDEX('Ingredient Database'!$J$5:$J$38,MATCH($A10,'Ingredient Database'!$A$5:$A$38,0))*$C10,"check name")</f>
        <v>16.59</v>
      </c>
      <c r="L10" s="8">
        <f>IFERROR(INDEX('Ingredient Database'!$K$5:$K$38,MATCH($A10,'Ingredient Database'!$A$5:$A$38,0))*$C10,"check name")</f>
        <v>167.48000000000002</v>
      </c>
      <c r="M10" s="8">
        <f>IFERROR(INDEX('Ingredient Database'!$L$5:$L$38,MATCH($A10,'Ingredient Database'!$A$5:$A$38,0))*$C10,"check name")</f>
        <v>1.1850000000000001</v>
      </c>
      <c r="N10" s="8">
        <f>IFERROR(INDEX('Ingredient Database'!$M$5:$M$38,MATCH($A10,'Ingredient Database'!$A$5:$A$38,0))*$C10,"check name")</f>
        <v>0</v>
      </c>
      <c r="O10" s="8">
        <f>IFERROR(INDEX('Ingredient Database'!$N$5:$N$38,MATCH($A10,'Ingredient Database'!$A$5:$A$38,0))*$C10,"check name")</f>
        <v>0</v>
      </c>
      <c r="P10" s="8">
        <f>IFERROR(INDEX('Ingredient Database'!$O$5:$O$38,MATCH($A10,'Ingredient Database'!$A$5:$A$38,0))*$C10,"check name")</f>
        <v>0</v>
      </c>
    </row>
    <row r="11" spans="1:16" x14ac:dyDescent="0.3">
      <c r="A11" s="4" t="s">
        <v>45</v>
      </c>
      <c r="B11" s="5" t="s">
        <v>88</v>
      </c>
      <c r="C11" s="7">
        <v>0.73</v>
      </c>
      <c r="D11" s="8">
        <f>IFERROR(INDEX('Ingredient Database'!$C$5:$C$38,MATCH($A11,'Ingredient Database'!$A$5:$A$38,0))*$C11,"check name")</f>
        <v>629.26</v>
      </c>
      <c r="E11" s="8">
        <f>IFERROR(INDEX('Ingredient Database'!$D$5:$D$38,MATCH($A11,'Ingredient Database'!$A$5:$A$38,0))*$C11,"check name")</f>
        <v>0</v>
      </c>
      <c r="F11" s="8">
        <f>IFERROR(INDEX('Ingredient Database'!$E$5:$E$38,MATCH($A11,'Ingredient Database'!$A$5:$A$38,0))*$C11,"check name")</f>
        <v>0</v>
      </c>
      <c r="G11" s="8">
        <f>IFERROR(INDEX('Ingredient Database'!$F$5:$F$38,MATCH($A11,'Ingredient Database'!$A$5:$A$38,0))*$C11,"check name")</f>
        <v>73</v>
      </c>
      <c r="H11" s="8">
        <f>IFERROR(INDEX('Ingredient Database'!$G$5:$G$38,MATCH($A11,'Ingredient Database'!$A$5:$A$38,0))*$C11,"check name")</f>
        <v>0</v>
      </c>
      <c r="I11" s="8">
        <f>IFERROR(INDEX('Ingredient Database'!$H$5:$H$38,MATCH($A11,'Ingredient Database'!$A$5:$A$38,0))*$C11,"check name")</f>
        <v>0</v>
      </c>
      <c r="J11" s="8">
        <f>IFERROR(INDEX('Ingredient Database'!$I$5:$I$38,MATCH($A11,'Ingredient Database'!$A$5:$A$38,0))*$C11,"check name")</f>
        <v>0</v>
      </c>
      <c r="K11" s="8">
        <f>IFERROR(INDEX('Ingredient Database'!$J$5:$J$38,MATCH($A11,'Ingredient Database'!$A$5:$A$38,0))*$C11,"check name")</f>
        <v>0</v>
      </c>
      <c r="L11" s="8">
        <f>IFERROR(INDEX('Ingredient Database'!$K$5:$K$38,MATCH($A11,'Ingredient Database'!$A$5:$A$38,0))*$C11,"check name")</f>
        <v>0</v>
      </c>
      <c r="M11" s="8">
        <f>IFERROR(INDEX('Ingredient Database'!$L$5:$L$38,MATCH($A11,'Ingredient Database'!$A$5:$A$38,0))*$C11,"check name")</f>
        <v>0</v>
      </c>
      <c r="N11" s="8">
        <f>IFERROR(INDEX('Ingredient Database'!$M$5:$M$38,MATCH($A11,'Ingredient Database'!$A$5:$A$38,0))*$C11,"check name")</f>
        <v>0</v>
      </c>
      <c r="O11" s="8">
        <f>IFERROR(INDEX('Ingredient Database'!$N$5:$N$38,MATCH($A11,'Ingredient Database'!$A$5:$A$38,0))*$C11,"check name")</f>
        <v>0</v>
      </c>
      <c r="P11" s="8">
        <f>IFERROR(INDEX('Ingredient Database'!$O$5:$O$38,MATCH($A11,'Ingredient Database'!$A$5:$A$38,0))*$C11,"check name")</f>
        <v>0</v>
      </c>
    </row>
    <row r="12" spans="1:16" x14ac:dyDescent="0.3">
      <c r="A12" s="4" t="s">
        <v>46</v>
      </c>
      <c r="B12" s="5" t="s">
        <v>89</v>
      </c>
      <c r="C12" s="7">
        <v>0.55000000000000004</v>
      </c>
      <c r="D12" s="8">
        <f>IFERROR(INDEX('Ingredient Database'!$C$5:$C$38,MATCH($A12,'Ingredient Database'!$A$5:$A$38,0))*$C12,"check name")</f>
        <v>209.00000000000003</v>
      </c>
      <c r="E12" s="8">
        <f>IFERROR(INDEX('Ingredient Database'!$D$5:$D$38,MATCH($A12,'Ingredient Database'!$A$5:$A$38,0))*$C12,"check name")</f>
        <v>0</v>
      </c>
      <c r="F12" s="8">
        <f>IFERROR(INDEX('Ingredient Database'!$E$5:$E$38,MATCH($A12,'Ingredient Database'!$A$5:$A$38,0))*$C12,"check name")</f>
        <v>53.900000000000006</v>
      </c>
      <c r="G12" s="8">
        <f>IFERROR(INDEX('Ingredient Database'!$F$5:$F$38,MATCH($A12,'Ingredient Database'!$A$5:$A$38,0))*$C12,"check name")</f>
        <v>0</v>
      </c>
      <c r="H12" s="8">
        <f>IFERROR(INDEX('Ingredient Database'!$G$5:$G$38,MATCH($A12,'Ingredient Database'!$A$5:$A$38,0))*$C12,"check name")</f>
        <v>0</v>
      </c>
      <c r="I12" s="8">
        <f>IFERROR(INDEX('Ingredient Database'!$H$5:$H$38,MATCH($A12,'Ingredient Database'!$A$5:$A$38,0))*$C12,"check name")</f>
        <v>1.0449999999999999</v>
      </c>
      <c r="J12" s="8">
        <f>IFERROR(INDEX('Ingredient Database'!$I$5:$I$38,MATCH($A12,'Ingredient Database'!$A$5:$A$38,0))*$C12,"check name")</f>
        <v>45.650000000000006</v>
      </c>
      <c r="K12" s="8">
        <f>IFERROR(INDEX('Ingredient Database'!$J$5:$J$38,MATCH($A12,'Ingredient Database'!$A$5:$A$38,0))*$C12,"check name")</f>
        <v>6.0500000000000007</v>
      </c>
      <c r="L12" s="8">
        <f>IFERROR(INDEX('Ingredient Database'!$K$5:$K$38,MATCH($A12,'Ingredient Database'!$A$5:$A$38,0))*$C12,"check name")</f>
        <v>73.150000000000006</v>
      </c>
      <c r="M12" s="8">
        <f>IFERROR(INDEX('Ingredient Database'!$L$5:$L$38,MATCH($A12,'Ingredient Database'!$A$5:$A$38,0))*$C12,"check name")</f>
        <v>0.11000000000000001</v>
      </c>
      <c r="N12" s="8">
        <f>IFERROR(INDEX('Ingredient Database'!$M$5:$M$38,MATCH($A12,'Ingredient Database'!$A$5:$A$38,0))*$C12,"check name")</f>
        <v>0</v>
      </c>
      <c r="O12" s="8">
        <f>IFERROR(INDEX('Ingredient Database'!$N$5:$N$38,MATCH($A12,'Ingredient Database'!$A$5:$A$38,0))*$C12,"check name")</f>
        <v>0</v>
      </c>
      <c r="P12" s="8">
        <f>IFERROR(INDEX('Ingredient Database'!$O$5:$O$38,MATCH($A12,'Ingredient Database'!$A$5:$A$38,0))*$C12,"check name")</f>
        <v>0</v>
      </c>
    </row>
    <row r="13" spans="1:16" x14ac:dyDescent="0.3">
      <c r="A13" s="4" t="s">
        <v>47</v>
      </c>
      <c r="B13" s="5" t="s">
        <v>90</v>
      </c>
      <c r="C13" s="7">
        <v>4.2000000000000003E-2</v>
      </c>
      <c r="D13" s="8">
        <f>IFERROR(INDEX('Ingredient Database'!$C$5:$C$38,MATCH($A13,'Ingredient Database'!$A$5:$A$38,0))*$C13,"check name")</f>
        <v>12.096</v>
      </c>
      <c r="E13" s="8">
        <f>IFERROR(INDEX('Ingredient Database'!$D$5:$D$38,MATCH($A13,'Ingredient Database'!$A$5:$A$38,0))*$C13,"check name")</f>
        <v>4.2000000000000006E-3</v>
      </c>
      <c r="F13" s="8">
        <f>IFERROR(INDEX('Ingredient Database'!$E$5:$E$38,MATCH($A13,'Ingredient Database'!$A$5:$A$38,0))*$C13,"check name")</f>
        <v>0.53339999999999999</v>
      </c>
      <c r="G13" s="8">
        <f>IFERROR(INDEX('Ingredient Database'!$F$5:$F$38,MATCH($A13,'Ingredient Database'!$A$5:$A$38,0))*$C13,"check name")</f>
        <v>4.2000000000000006E-3</v>
      </c>
      <c r="H13" s="8">
        <f>IFERROR(INDEX('Ingredient Database'!$G$5:$G$38,MATCH($A13,'Ingredient Database'!$A$5:$A$38,0))*$C13,"check name")</f>
        <v>0</v>
      </c>
      <c r="I13" s="8">
        <f>IFERROR(INDEX('Ingredient Database'!$H$5:$H$38,MATCH($A13,'Ingredient Database'!$A$5:$A$38,0))*$C13,"check name")</f>
        <v>4.2000000000000006E-3</v>
      </c>
      <c r="J13" s="8">
        <f>IFERROR(INDEX('Ingredient Database'!$I$5:$I$38,MATCH($A13,'Ingredient Database'!$A$5:$A$38,0))*$C13,"check name")</f>
        <v>0.46200000000000002</v>
      </c>
      <c r="K13" s="8">
        <f>IFERROR(INDEX('Ingredient Database'!$J$5:$J$38,MATCH($A13,'Ingredient Database'!$A$5:$A$38,0))*$C13,"check name")</f>
        <v>0.504</v>
      </c>
      <c r="L13" s="8">
        <f>IFERROR(INDEX('Ingredient Database'!$K$5:$K$38,MATCH($A13,'Ingredient Database'!$A$5:$A$38,0))*$C13,"check name")</f>
        <v>6.2160000000000002</v>
      </c>
      <c r="M13" s="8">
        <f>IFERROR(INDEX('Ingredient Database'!$L$5:$L$38,MATCH($A13,'Ingredient Database'!$A$5:$A$38,0))*$C13,"check name")</f>
        <v>4.2000000000000006E-3</v>
      </c>
      <c r="N13" s="8">
        <f>IFERROR(INDEX('Ingredient Database'!$M$5:$M$38,MATCH($A13,'Ingredient Database'!$A$5:$A$38,0))*$C13,"check name")</f>
        <v>0</v>
      </c>
      <c r="O13" s="8">
        <f>IFERROR(INDEX('Ingredient Database'!$N$5:$N$38,MATCH($A13,'Ingredient Database'!$A$5:$A$38,0))*$C13,"check name")</f>
        <v>0</v>
      </c>
      <c r="P13" s="8">
        <f>IFERROR(INDEX('Ingredient Database'!$O$5:$O$38,MATCH($A13,'Ingredient Database'!$A$5:$A$38,0))*$C13,"check name")</f>
        <v>0</v>
      </c>
    </row>
    <row r="14" spans="1:16" x14ac:dyDescent="0.3">
      <c r="A14" s="4" t="s">
        <v>48</v>
      </c>
      <c r="B14" s="5" t="s">
        <v>91</v>
      </c>
      <c r="C14" s="7">
        <v>2.4</v>
      </c>
      <c r="D14" s="8">
        <f>IFERROR(INDEX('Ingredient Database'!$C$5:$C$38,MATCH($A14,'Ingredient Database'!$A$5:$A$38,0))*$C14,"check name")</f>
        <v>79.2</v>
      </c>
      <c r="E14" s="8">
        <f>IFERROR(INDEX('Ingredient Database'!$D$5:$D$38,MATCH($A14,'Ingredient Database'!$A$5:$A$38,0))*$C14,"check name")</f>
        <v>6.96</v>
      </c>
      <c r="F14" s="8">
        <f>IFERROR(INDEX('Ingredient Database'!$E$5:$E$38,MATCH($A14,'Ingredient Database'!$A$5:$A$38,0))*$C14,"check name")</f>
        <v>3</v>
      </c>
      <c r="G14" s="8">
        <f>IFERROR(INDEX('Ingredient Database'!$F$5:$F$38,MATCH($A14,'Ingredient Database'!$A$5:$A$38,0))*$C14,"check name")</f>
        <v>4.08</v>
      </c>
      <c r="H14" s="8">
        <f>IFERROR(INDEX('Ingredient Database'!$G$5:$G$38,MATCH($A14,'Ingredient Database'!$A$5:$A$38,0))*$C14,"check name")</f>
        <v>0.96</v>
      </c>
      <c r="I14" s="8">
        <f>IFERROR(INDEX('Ingredient Database'!$H$5:$H$38,MATCH($A14,'Ingredient Database'!$A$5:$A$38,0))*$C14,"check name")</f>
        <v>1.1040000000000001</v>
      </c>
      <c r="J14" s="8">
        <f>IFERROR(INDEX('Ingredient Database'!$I$5:$I$38,MATCH($A14,'Ingredient Database'!$A$5:$A$38,0))*$C14,"check name")</f>
        <v>451.2</v>
      </c>
      <c r="K14" s="8">
        <f>IFERROR(INDEX('Ingredient Database'!$J$5:$J$38,MATCH($A14,'Ingredient Database'!$A$5:$A$38,0))*$C14,"check name")</f>
        <v>30</v>
      </c>
      <c r="L14" s="8">
        <f>IFERROR(INDEX('Ingredient Database'!$K$5:$K$38,MATCH($A14,'Ingredient Database'!$A$5:$A$38,0))*$C14,"check name")</f>
        <v>300</v>
      </c>
      <c r="M14" s="8">
        <f>IFERROR(INDEX('Ingredient Database'!$L$5:$L$38,MATCH($A14,'Ingredient Database'!$A$5:$A$38,0))*$C14,"check name")</f>
        <v>0.48</v>
      </c>
      <c r="N14" s="8">
        <f>IFERROR(INDEX('Ingredient Database'!$M$5:$M$38,MATCH($A14,'Ingredient Database'!$A$5:$A$38,0))*$C14,"check name")</f>
        <v>0</v>
      </c>
      <c r="O14" s="8">
        <f>IFERROR(INDEX('Ingredient Database'!$N$5:$N$38,MATCH($A14,'Ingredient Database'!$A$5:$A$38,0))*$C14,"check name")</f>
        <v>0</v>
      </c>
      <c r="P14" s="8">
        <f>IFERROR(INDEX('Ingredient Database'!$O$5:$O$38,MATCH($A14,'Ingredient Database'!$A$5:$A$38,0))*$C14,"check name")</f>
        <v>0</v>
      </c>
    </row>
    <row r="15" spans="1:16" x14ac:dyDescent="0.3">
      <c r="A15" s="4" t="s">
        <v>49</v>
      </c>
      <c r="B15" s="5" t="s">
        <v>92</v>
      </c>
      <c r="C15" s="7">
        <v>1.45</v>
      </c>
      <c r="D15" s="8">
        <f>IFERROR(INDEX('Ingredient Database'!$C$5:$C$38,MATCH($A15,'Ingredient Database'!$A$5:$A$38,0))*$C15,"check name")</f>
        <v>82.649999999999991</v>
      </c>
      <c r="E15" s="8">
        <f>IFERROR(INDEX('Ingredient Database'!$D$5:$D$38,MATCH($A15,'Ingredient Database'!$A$5:$A$38,0))*$C15,"check name")</f>
        <v>1.0149999999999999</v>
      </c>
      <c r="F15" s="8">
        <f>IFERROR(INDEX('Ingredient Database'!$E$5:$E$38,MATCH($A15,'Ingredient Database'!$A$5:$A$38,0))*$C15,"check name")</f>
        <v>21.024999999999999</v>
      </c>
      <c r="G15" s="8">
        <f>IFERROR(INDEX('Ingredient Database'!$F$5:$F$38,MATCH($A15,'Ingredient Database'!$A$5:$A$38,0))*$C15,"check name")</f>
        <v>0.435</v>
      </c>
      <c r="H15" s="8">
        <f>IFERROR(INDEX('Ingredient Database'!$G$5:$G$38,MATCH($A15,'Ingredient Database'!$A$5:$A$38,0))*$C15,"check name")</f>
        <v>3.48</v>
      </c>
      <c r="I15" s="8">
        <f>IFERROR(INDEX('Ingredient Database'!$H$5:$H$38,MATCH($A15,'Ingredient Database'!$A$5:$A$38,0))*$C15,"check name")</f>
        <v>0.40600000000000003</v>
      </c>
      <c r="J15" s="8">
        <f>IFERROR(INDEX('Ingredient Database'!$I$5:$I$38,MATCH($A15,'Ingredient Database'!$A$5:$A$38,0))*$C15,"check name")</f>
        <v>8.6999999999999993</v>
      </c>
      <c r="K15" s="8">
        <f>IFERROR(INDEX('Ingredient Database'!$J$5:$J$38,MATCH($A15,'Ingredient Database'!$A$5:$A$38,0))*$C15,"check name")</f>
        <v>8.6999999999999993</v>
      </c>
      <c r="L15" s="8">
        <f>IFERROR(INDEX('Ingredient Database'!$K$5:$K$38,MATCH($A15,'Ingredient Database'!$A$5:$A$38,0))*$C15,"check name")</f>
        <v>111.64999999999999</v>
      </c>
      <c r="M15" s="8">
        <f>IFERROR(INDEX('Ingredient Database'!$L$5:$L$38,MATCH($A15,'Ingredient Database'!$A$5:$A$38,0))*$C15,"check name")</f>
        <v>0.14499999999999999</v>
      </c>
      <c r="N15" s="8">
        <f>IFERROR(INDEX('Ingredient Database'!$M$5:$M$38,MATCH($A15,'Ingredient Database'!$A$5:$A$38,0))*$C15,"check name")</f>
        <v>2.9</v>
      </c>
      <c r="O15" s="8">
        <f>IFERROR(INDEX('Ingredient Database'!$N$5:$N$38,MATCH($A15,'Ingredient Database'!$A$5:$A$38,0))*$C15,"check name")</f>
        <v>14.064999999999998</v>
      </c>
      <c r="P15" s="8">
        <f>IFERROR(INDEX('Ingredient Database'!$O$5:$O$38,MATCH($A15,'Ingredient Database'!$A$5:$A$38,0))*$C15,"check name")</f>
        <v>8.6999999999999993</v>
      </c>
    </row>
    <row r="16" spans="1:16" x14ac:dyDescent="0.3">
      <c r="A16" s="4" t="s">
        <v>50</v>
      </c>
      <c r="B16" s="5" t="s">
        <v>93</v>
      </c>
      <c r="C16" s="7">
        <v>0.18</v>
      </c>
      <c r="D16" s="8">
        <f>IFERROR(INDEX('Ingredient Database'!$C$5:$C$38,MATCH($A16,'Ingredient Database'!$A$5:$A$38,0))*$C16,"check name")</f>
        <v>100.61999999999999</v>
      </c>
      <c r="E16" s="8">
        <f>IFERROR(INDEX('Ingredient Database'!$D$5:$D$38,MATCH($A16,'Ingredient Database'!$A$5:$A$38,0))*$C16,"check name")</f>
        <v>5.4359999999999999</v>
      </c>
      <c r="F16" s="8">
        <f>IFERROR(INDEX('Ingredient Database'!$E$5:$E$38,MATCH($A16,'Ingredient Database'!$A$5:$A$38,0))*$C16,"check name")</f>
        <v>1.9259999999999997</v>
      </c>
      <c r="G16" s="8">
        <f>IFERROR(INDEX('Ingredient Database'!$F$5:$F$38,MATCH($A16,'Ingredient Database'!$A$5:$A$38,0))*$C16,"check name")</f>
        <v>8.82</v>
      </c>
      <c r="H16" s="8">
        <f>IFERROR(INDEX('Ingredient Database'!$G$5:$G$38,MATCH($A16,'Ingredient Database'!$A$5:$A$38,0))*$C16,"check name")</f>
        <v>1.08</v>
      </c>
      <c r="I16" s="8">
        <f>IFERROR(INDEX('Ingredient Database'!$H$5:$H$38,MATCH($A16,'Ingredient Database'!$A$5:$A$38,0))*$C16,"check name")</f>
        <v>1.5840000000000001</v>
      </c>
      <c r="J16" s="8">
        <f>IFERROR(INDEX('Ingredient Database'!$I$5:$I$38,MATCH($A16,'Ingredient Database'!$A$5:$A$38,0))*$C16,"check name")</f>
        <v>8.2799999999999994</v>
      </c>
      <c r="K16" s="8">
        <f>IFERROR(INDEX('Ingredient Database'!$J$5:$J$38,MATCH($A16,'Ingredient Database'!$A$5:$A$38,0))*$C16,"check name")</f>
        <v>106.56</v>
      </c>
      <c r="L16" s="8">
        <f>IFERROR(INDEX('Ingredient Database'!$K$5:$K$38,MATCH($A16,'Ingredient Database'!$A$5:$A$38,0))*$C16,"check name")</f>
        <v>145.62</v>
      </c>
      <c r="M16" s="8">
        <f>IFERROR(INDEX('Ingredient Database'!$L$5:$L$38,MATCH($A16,'Ingredient Database'!$A$5:$A$38,0))*$C16,"check name")</f>
        <v>1.4039999999999999</v>
      </c>
      <c r="N16" s="8">
        <f>IFERROR(INDEX('Ingredient Database'!$M$5:$M$38,MATCH($A16,'Ingredient Database'!$A$5:$A$38,0))*$C16,"check name")</f>
        <v>0</v>
      </c>
      <c r="O16" s="8">
        <f>IFERROR(INDEX('Ingredient Database'!$N$5:$N$38,MATCH($A16,'Ingredient Database'!$A$5:$A$38,0))*$C16,"check name")</f>
        <v>0</v>
      </c>
      <c r="P16" s="8">
        <f>IFERROR(INDEX('Ingredient Database'!$O$5:$O$38,MATCH($A16,'Ingredient Database'!$A$5:$A$38,0))*$C16,"check name")</f>
        <v>10.44</v>
      </c>
    </row>
    <row r="17" spans="1:16" x14ac:dyDescent="0.3">
      <c r="A17" s="4" t="s">
        <v>51</v>
      </c>
      <c r="B17" s="5" t="s">
        <v>93</v>
      </c>
      <c r="C17" s="7">
        <v>0.18</v>
      </c>
      <c r="D17" s="8">
        <f>IFERROR(INDEX('Ingredient Database'!$C$5:$C$38,MATCH($A17,'Ingredient Database'!$A$5:$A$38,0))*$C17,"check name")</f>
        <v>105.11999999999999</v>
      </c>
      <c r="E17" s="8">
        <f>IFERROR(INDEX('Ingredient Database'!$D$5:$D$38,MATCH($A17,'Ingredient Database'!$A$5:$A$38,0))*$C17,"check name")</f>
        <v>3.7439999999999998</v>
      </c>
      <c r="F17" s="8">
        <f>IFERROR(INDEX('Ingredient Database'!$E$5:$E$38,MATCH($A17,'Ingredient Database'!$A$5:$A$38,0))*$C17,"check name")</f>
        <v>3.5999999999999996</v>
      </c>
      <c r="G17" s="8">
        <f>IFERROR(INDEX('Ingredient Database'!$F$5:$F$38,MATCH($A17,'Ingredient Database'!$A$5:$A$38,0))*$C17,"check name")</f>
        <v>9.27</v>
      </c>
      <c r="H17" s="8">
        <f>IFERROR(INDEX('Ingredient Database'!$G$5:$G$38,MATCH($A17,'Ingredient Database'!$A$5:$A$38,0))*$C17,"check name")</f>
        <v>1.5479999999999998</v>
      </c>
      <c r="I17" s="8">
        <f>IFERROR(INDEX('Ingredient Database'!$H$5:$H$38,MATCH($A17,'Ingredient Database'!$A$5:$A$38,0))*$C17,"check name")</f>
        <v>0.94499999999999995</v>
      </c>
      <c r="J17" s="8">
        <f>IFERROR(INDEX('Ingredient Database'!$I$5:$I$38,MATCH($A17,'Ingredient Database'!$A$5:$A$38,0))*$C17,"check name")</f>
        <v>14.04</v>
      </c>
      <c r="K17" s="8">
        <f>IFERROR(INDEX('Ingredient Database'!$J$5:$J$38,MATCH($A17,'Ingredient Database'!$A$5:$A$38,0))*$C17,"check name")</f>
        <v>58.5</v>
      </c>
      <c r="L17" s="8">
        <f>IFERROR(INDEX('Ingredient Database'!$K$5:$K$38,MATCH($A17,'Ingredient Database'!$A$5:$A$38,0))*$C17,"check name")</f>
        <v>116.1</v>
      </c>
      <c r="M17" s="8">
        <f>IFERROR(INDEX('Ingredient Database'!$L$5:$L$38,MATCH($A17,'Ingredient Database'!$A$5:$A$38,0))*$C17,"check name")</f>
        <v>0.89999999999999991</v>
      </c>
      <c r="N17" s="8">
        <f>IFERROR(INDEX('Ingredient Database'!$M$5:$M$38,MATCH($A17,'Ingredient Database'!$A$5:$A$38,0))*$C17,"check name")</f>
        <v>0</v>
      </c>
      <c r="O17" s="8">
        <f>IFERROR(INDEX('Ingredient Database'!$N$5:$N$38,MATCH($A17,'Ingredient Database'!$A$5:$A$38,0))*$C17,"check name")</f>
        <v>0.252</v>
      </c>
      <c r="P17" s="8">
        <f>IFERROR(INDEX('Ingredient Database'!$O$5:$O$38,MATCH($A17,'Ingredient Database'!$A$5:$A$38,0))*$C17,"check name")</f>
        <v>40.86</v>
      </c>
    </row>
    <row r="18" spans="1:16" x14ac:dyDescent="0.3">
      <c r="A18" s="4" t="s">
        <v>52</v>
      </c>
      <c r="B18" s="5" t="s">
        <v>94</v>
      </c>
      <c r="C18" s="7">
        <v>0.14000000000000001</v>
      </c>
      <c r="D18" s="8">
        <f>IFERROR(INDEX('Ingredient Database'!$C$5:$C$38,MATCH($A18,'Ingredient Database'!$A$5:$A$38,0))*$C18,"check name")</f>
        <v>74.760000000000005</v>
      </c>
      <c r="E18" s="8">
        <f>IFERROR(INDEX('Ingredient Database'!$D$5:$D$38,MATCH($A18,'Ingredient Database'!$A$5:$A$38,0))*$C18,"check name")</f>
        <v>2.5620000000000003</v>
      </c>
      <c r="F18" s="8">
        <f>IFERROR(INDEX('Ingredient Database'!$E$5:$E$38,MATCH($A18,'Ingredient Database'!$A$5:$A$38,0))*$C18,"check name")</f>
        <v>4.0460000000000003</v>
      </c>
      <c r="G18" s="8">
        <f>IFERROR(INDEX('Ingredient Database'!$F$5:$F$38,MATCH($A18,'Ingredient Database'!$A$5:$A$38,0))*$C18,"check name")</f>
        <v>5.9080000000000013</v>
      </c>
      <c r="H18" s="8">
        <f>IFERROR(INDEX('Ingredient Database'!$G$5:$G$38,MATCH($A18,'Ingredient Database'!$A$5:$A$38,0))*$C18,"check name")</f>
        <v>3.8220000000000005</v>
      </c>
      <c r="I18" s="8">
        <f>IFERROR(INDEX('Ingredient Database'!$H$5:$H$38,MATCH($A18,'Ingredient Database'!$A$5:$A$38,0))*$C18,"check name")</f>
        <v>0.79800000000000015</v>
      </c>
      <c r="J18" s="8">
        <f>IFERROR(INDEX('Ingredient Database'!$I$5:$I$38,MATCH($A18,'Ingredient Database'!$A$5:$A$38,0))*$C18,"check name")</f>
        <v>35.700000000000003</v>
      </c>
      <c r="K18" s="8">
        <f>IFERROR(INDEX('Ingredient Database'!$J$5:$J$38,MATCH($A18,'Ingredient Database'!$A$5:$A$38,0))*$C18,"check name")</f>
        <v>54.88</v>
      </c>
      <c r="L18" s="8">
        <f>IFERROR(INDEX('Ingredient Database'!$K$5:$K$38,MATCH($A18,'Ingredient Database'!$A$5:$A$38,0))*$C18,"check name")</f>
        <v>113.82000000000001</v>
      </c>
      <c r="M18" s="8">
        <f>IFERROR(INDEX('Ingredient Database'!$L$5:$L$38,MATCH($A18,'Ingredient Database'!$A$5:$A$38,0))*$C18,"check name")</f>
        <v>0.60199999999999998</v>
      </c>
      <c r="N18" s="8">
        <f>IFERROR(INDEX('Ingredient Database'!$M$5:$M$38,MATCH($A18,'Ingredient Database'!$A$5:$A$38,0))*$C18,"check name")</f>
        <v>0</v>
      </c>
      <c r="O18" s="8">
        <f>IFERROR(INDEX('Ingredient Database'!$N$5:$N$38,MATCH($A18,'Ingredient Database'!$A$5:$A$38,0))*$C18,"check name")</f>
        <v>0</v>
      </c>
      <c r="P18" s="8">
        <f>IFERROR(INDEX('Ingredient Database'!$O$5:$O$38,MATCH($A18,'Ingredient Database'!$A$5:$A$38,0))*$C18,"check name")</f>
        <v>0</v>
      </c>
    </row>
    <row r="19" spans="1:16" x14ac:dyDescent="0.3">
      <c r="A19" s="9" t="s">
        <v>64</v>
      </c>
      <c r="B19" s="10"/>
      <c r="C19" s="10"/>
      <c r="D19" s="11">
        <f t="shared" ref="D19:P19" si="0">SUM(D5:D18)</f>
        <v>2894.8490000000002</v>
      </c>
      <c r="E19" s="11">
        <f t="shared" si="0"/>
        <v>70.731199999999987</v>
      </c>
      <c r="F19" s="11">
        <f t="shared" si="0"/>
        <v>385.64589999999993</v>
      </c>
      <c r="G19" s="11">
        <f t="shared" si="0"/>
        <v>126.7158</v>
      </c>
      <c r="H19" s="11">
        <f t="shared" si="0"/>
        <v>48.1327</v>
      </c>
      <c r="I19" s="11">
        <f t="shared" si="0"/>
        <v>24.107399999999998</v>
      </c>
      <c r="J19" s="11">
        <f t="shared" si="0"/>
        <v>1027.5540000000001</v>
      </c>
      <c r="K19" s="11">
        <f t="shared" si="0"/>
        <v>688.92099999999994</v>
      </c>
      <c r="L19" s="11">
        <f t="shared" si="0"/>
        <v>2135.9290000000001</v>
      </c>
      <c r="M19" s="11">
        <f t="shared" si="0"/>
        <v>14.706500000000002</v>
      </c>
      <c r="N19" s="11">
        <f t="shared" si="0"/>
        <v>3.0609999999999999</v>
      </c>
      <c r="O19" s="11">
        <f t="shared" si="0"/>
        <v>14.408999999999999</v>
      </c>
      <c r="P19" s="11">
        <f t="shared" si="0"/>
        <v>434.77799999999996</v>
      </c>
    </row>
    <row r="21" spans="1:16" x14ac:dyDescent="0.3">
      <c r="A21" s="9" t="s">
        <v>95</v>
      </c>
      <c r="B21" s="10"/>
      <c r="C21" s="10"/>
      <c r="D21" s="11">
        <f t="shared" ref="D21:P21" si="1">D19/9</f>
        <v>321.64988888888888</v>
      </c>
      <c r="E21" s="11">
        <f t="shared" si="1"/>
        <v>7.8590222222222206</v>
      </c>
      <c r="F21" s="11">
        <f t="shared" si="1"/>
        <v>42.849544444444433</v>
      </c>
      <c r="G21" s="11">
        <f t="shared" si="1"/>
        <v>14.079533333333334</v>
      </c>
      <c r="H21" s="11">
        <f t="shared" si="1"/>
        <v>5.3480777777777782</v>
      </c>
      <c r="I21" s="11">
        <f t="shared" si="1"/>
        <v>2.6785999999999999</v>
      </c>
      <c r="J21" s="11">
        <f t="shared" si="1"/>
        <v>114.17266666666667</v>
      </c>
      <c r="K21" s="11">
        <f t="shared" si="1"/>
        <v>76.546777777777777</v>
      </c>
      <c r="L21" s="11">
        <f t="shared" si="1"/>
        <v>237.32544444444446</v>
      </c>
      <c r="M21" s="11">
        <f t="shared" si="1"/>
        <v>1.6340555555555558</v>
      </c>
      <c r="N21" s="11">
        <f t="shared" si="1"/>
        <v>0.34011111111111109</v>
      </c>
      <c r="O21" s="11">
        <f t="shared" si="1"/>
        <v>1.601</v>
      </c>
      <c r="P21" s="11">
        <f t="shared" si="1"/>
        <v>48.30866666666666</v>
      </c>
    </row>
  </sheetData>
  <mergeCells count="2">
    <mergeCell ref="A1:P1"/>
    <mergeCell ref="A2:P2"/>
  </mergeCells>
  <pageMargins left="0.4" right="0.4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0" customWidth="1"/>
    <col min="2" max="2" width="16" customWidth="1"/>
    <col min="3" max="3" width="12" customWidth="1"/>
    <col min="4" max="16" width="11" customWidth="1"/>
  </cols>
  <sheetData>
    <row r="1" spans="1:16" ht="21" x14ac:dyDescent="0.4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1" t="s">
        <v>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 ht="33.75" customHeight="1" x14ac:dyDescent="0.3">
      <c r="A4" s="3" t="s">
        <v>55</v>
      </c>
      <c r="B4" s="3" t="s">
        <v>56</v>
      </c>
      <c r="C4" s="3" t="s">
        <v>57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spans="1:16" x14ac:dyDescent="0.3">
      <c r="A5" s="4" t="s">
        <v>98</v>
      </c>
      <c r="B5" s="5" t="s">
        <v>99</v>
      </c>
      <c r="C5" s="7">
        <v>1</v>
      </c>
      <c r="D5" s="8" t="str">
        <f>IFERROR(INDEX('Ingredient Database'!$C$5:$C$38,MATCH($A5,'Ingredient Database'!$A$5:$A$38,0))*$C5,"check name")</f>
        <v>check name</v>
      </c>
      <c r="E5" s="8" t="str">
        <f>IFERROR(INDEX('Ingredient Database'!$D$5:$D$38,MATCH($A5,'Ingredient Database'!$A$5:$A$38,0))*$C5,"check name")</f>
        <v>check name</v>
      </c>
      <c r="F5" s="8" t="str">
        <f>IFERROR(INDEX('Ingredient Database'!$E$5:$E$38,MATCH($A5,'Ingredient Database'!$A$5:$A$38,0))*$C5,"check name")</f>
        <v>check name</v>
      </c>
      <c r="G5" s="8" t="str">
        <f>IFERROR(INDEX('Ingredient Database'!$F$5:$F$38,MATCH($A5,'Ingredient Database'!$A$5:$A$38,0))*$C5,"check name")</f>
        <v>check name</v>
      </c>
      <c r="H5" s="8" t="str">
        <f>IFERROR(INDEX('Ingredient Database'!$G$5:$G$38,MATCH($A5,'Ingredient Database'!$A$5:$A$38,0))*$C5,"check name")</f>
        <v>check name</v>
      </c>
      <c r="I5" s="8" t="str">
        <f>IFERROR(INDEX('Ingredient Database'!$H$5:$H$38,MATCH($A5,'Ingredient Database'!$A$5:$A$38,0))*$C5,"check name")</f>
        <v>check name</v>
      </c>
      <c r="J5" s="8" t="str">
        <f>IFERROR(INDEX('Ingredient Database'!$I$5:$I$38,MATCH($A5,'Ingredient Database'!$A$5:$A$38,0))*$C5,"check name")</f>
        <v>check name</v>
      </c>
      <c r="K5" s="8" t="str">
        <f>IFERROR(INDEX('Ingredient Database'!$J$5:$J$38,MATCH($A5,'Ingredient Database'!$A$5:$A$38,0))*$C5,"check name")</f>
        <v>check name</v>
      </c>
      <c r="L5" s="8" t="str">
        <f>IFERROR(INDEX('Ingredient Database'!$K$5:$K$38,MATCH($A5,'Ingredient Database'!$A$5:$A$38,0))*$C5,"check name")</f>
        <v>check name</v>
      </c>
      <c r="M5" s="8" t="str">
        <f>IFERROR(INDEX('Ingredient Database'!$L$5:$L$38,MATCH($A5,'Ingredient Database'!$A$5:$A$38,0))*$C5,"check name")</f>
        <v>check name</v>
      </c>
      <c r="N5" s="8" t="str">
        <f>IFERROR(INDEX('Ingredient Database'!$M$5:$M$38,MATCH($A5,'Ingredient Database'!$A$5:$A$38,0))*$C5,"check name")</f>
        <v>check name</v>
      </c>
      <c r="O5" s="8" t="str">
        <f>IFERROR(INDEX('Ingredient Database'!$N$5:$N$38,MATCH($A5,'Ingredient Database'!$A$5:$A$38,0))*$C5,"check name")</f>
        <v>check name</v>
      </c>
      <c r="P5" s="8" t="str">
        <f>IFERROR(INDEX('Ingredient Database'!$O$5:$O$38,MATCH($A5,'Ingredient Database'!$A$5:$A$38,0))*$C5,"check name")</f>
        <v>check name</v>
      </c>
    </row>
    <row r="6" spans="1:16" x14ac:dyDescent="0.3">
      <c r="A6" s="4" t="s">
        <v>98</v>
      </c>
      <c r="B6" s="5" t="s">
        <v>99</v>
      </c>
      <c r="C6" s="7">
        <v>1</v>
      </c>
      <c r="D6" s="8" t="str">
        <f>IFERROR(INDEX('Ingredient Database'!$C$5:$C$38,MATCH($A6,'Ingredient Database'!$A$5:$A$38,0))*$C6,"check name")</f>
        <v>check name</v>
      </c>
      <c r="E6" s="8" t="str">
        <f>IFERROR(INDEX('Ingredient Database'!$D$5:$D$38,MATCH($A6,'Ingredient Database'!$A$5:$A$38,0))*$C6,"check name")</f>
        <v>check name</v>
      </c>
      <c r="F6" s="8" t="str">
        <f>IFERROR(INDEX('Ingredient Database'!$E$5:$E$38,MATCH($A6,'Ingredient Database'!$A$5:$A$38,0))*$C6,"check name")</f>
        <v>check name</v>
      </c>
      <c r="G6" s="8" t="str">
        <f>IFERROR(INDEX('Ingredient Database'!$F$5:$F$38,MATCH($A6,'Ingredient Database'!$A$5:$A$38,0))*$C6,"check name")</f>
        <v>check name</v>
      </c>
      <c r="H6" s="8" t="str">
        <f>IFERROR(INDEX('Ingredient Database'!$G$5:$G$38,MATCH($A6,'Ingredient Database'!$A$5:$A$38,0))*$C6,"check name")</f>
        <v>check name</v>
      </c>
      <c r="I6" s="8" t="str">
        <f>IFERROR(INDEX('Ingredient Database'!$H$5:$H$38,MATCH($A6,'Ingredient Database'!$A$5:$A$38,0))*$C6,"check name")</f>
        <v>check name</v>
      </c>
      <c r="J6" s="8" t="str">
        <f>IFERROR(INDEX('Ingredient Database'!$I$5:$I$38,MATCH($A6,'Ingredient Database'!$A$5:$A$38,0))*$C6,"check name")</f>
        <v>check name</v>
      </c>
      <c r="K6" s="8" t="str">
        <f>IFERROR(INDEX('Ingredient Database'!$J$5:$J$38,MATCH($A6,'Ingredient Database'!$A$5:$A$38,0))*$C6,"check name")</f>
        <v>check name</v>
      </c>
      <c r="L6" s="8" t="str">
        <f>IFERROR(INDEX('Ingredient Database'!$K$5:$K$38,MATCH($A6,'Ingredient Database'!$A$5:$A$38,0))*$C6,"check name")</f>
        <v>check name</v>
      </c>
      <c r="M6" s="8" t="str">
        <f>IFERROR(INDEX('Ingredient Database'!$L$5:$L$38,MATCH($A6,'Ingredient Database'!$A$5:$A$38,0))*$C6,"check name")</f>
        <v>check name</v>
      </c>
      <c r="N6" s="8" t="str">
        <f>IFERROR(INDEX('Ingredient Database'!$M$5:$M$38,MATCH($A6,'Ingredient Database'!$A$5:$A$38,0))*$C6,"check name")</f>
        <v>check name</v>
      </c>
      <c r="O6" s="8" t="str">
        <f>IFERROR(INDEX('Ingredient Database'!$N$5:$N$38,MATCH($A6,'Ingredient Database'!$A$5:$A$38,0))*$C6,"check name")</f>
        <v>check name</v>
      </c>
      <c r="P6" s="8" t="str">
        <f>IFERROR(INDEX('Ingredient Database'!$O$5:$O$38,MATCH($A6,'Ingredient Database'!$A$5:$A$38,0))*$C6,"check name")</f>
        <v>check name</v>
      </c>
    </row>
    <row r="7" spans="1:16" x14ac:dyDescent="0.3">
      <c r="A7" s="4" t="s">
        <v>98</v>
      </c>
      <c r="B7" s="5" t="s">
        <v>99</v>
      </c>
      <c r="C7" s="7">
        <v>1</v>
      </c>
      <c r="D7" s="8" t="str">
        <f>IFERROR(INDEX('Ingredient Database'!$C$5:$C$38,MATCH($A7,'Ingredient Database'!$A$5:$A$38,0))*$C7,"check name")</f>
        <v>check name</v>
      </c>
      <c r="E7" s="8" t="str">
        <f>IFERROR(INDEX('Ingredient Database'!$D$5:$D$38,MATCH($A7,'Ingredient Database'!$A$5:$A$38,0))*$C7,"check name")</f>
        <v>check name</v>
      </c>
      <c r="F7" s="8" t="str">
        <f>IFERROR(INDEX('Ingredient Database'!$E$5:$E$38,MATCH($A7,'Ingredient Database'!$A$5:$A$38,0))*$C7,"check name")</f>
        <v>check name</v>
      </c>
      <c r="G7" s="8" t="str">
        <f>IFERROR(INDEX('Ingredient Database'!$F$5:$F$38,MATCH($A7,'Ingredient Database'!$A$5:$A$38,0))*$C7,"check name")</f>
        <v>check name</v>
      </c>
      <c r="H7" s="8" t="str">
        <f>IFERROR(INDEX('Ingredient Database'!$G$5:$G$38,MATCH($A7,'Ingredient Database'!$A$5:$A$38,0))*$C7,"check name")</f>
        <v>check name</v>
      </c>
      <c r="I7" s="8" t="str">
        <f>IFERROR(INDEX('Ingredient Database'!$H$5:$H$38,MATCH($A7,'Ingredient Database'!$A$5:$A$38,0))*$C7,"check name")</f>
        <v>check name</v>
      </c>
      <c r="J7" s="8" t="str">
        <f>IFERROR(INDEX('Ingredient Database'!$I$5:$I$38,MATCH($A7,'Ingredient Database'!$A$5:$A$38,0))*$C7,"check name")</f>
        <v>check name</v>
      </c>
      <c r="K7" s="8" t="str">
        <f>IFERROR(INDEX('Ingredient Database'!$J$5:$J$38,MATCH($A7,'Ingredient Database'!$A$5:$A$38,0))*$C7,"check name")</f>
        <v>check name</v>
      </c>
      <c r="L7" s="8" t="str">
        <f>IFERROR(INDEX('Ingredient Database'!$K$5:$K$38,MATCH($A7,'Ingredient Database'!$A$5:$A$38,0))*$C7,"check name")</f>
        <v>check name</v>
      </c>
      <c r="M7" s="8" t="str">
        <f>IFERROR(INDEX('Ingredient Database'!$L$5:$L$38,MATCH($A7,'Ingredient Database'!$A$5:$A$38,0))*$C7,"check name")</f>
        <v>check name</v>
      </c>
      <c r="N7" s="8" t="str">
        <f>IFERROR(INDEX('Ingredient Database'!$M$5:$M$38,MATCH($A7,'Ingredient Database'!$A$5:$A$38,0))*$C7,"check name")</f>
        <v>check name</v>
      </c>
      <c r="O7" s="8" t="str">
        <f>IFERROR(INDEX('Ingredient Database'!$N$5:$N$38,MATCH($A7,'Ingredient Database'!$A$5:$A$38,0))*$C7,"check name")</f>
        <v>check name</v>
      </c>
      <c r="P7" s="8" t="str">
        <f>IFERROR(INDEX('Ingredient Database'!$O$5:$O$38,MATCH($A7,'Ingredient Database'!$A$5:$A$38,0))*$C7,"check name")</f>
        <v>check name</v>
      </c>
    </row>
    <row r="8" spans="1:16" x14ac:dyDescent="0.3">
      <c r="A8" s="4" t="s">
        <v>98</v>
      </c>
      <c r="B8" s="5" t="s">
        <v>99</v>
      </c>
      <c r="C8" s="7">
        <v>1</v>
      </c>
      <c r="D8" s="8" t="str">
        <f>IFERROR(INDEX('Ingredient Database'!$C$5:$C$38,MATCH($A8,'Ingredient Database'!$A$5:$A$38,0))*$C8,"check name")</f>
        <v>check name</v>
      </c>
      <c r="E8" s="8" t="str">
        <f>IFERROR(INDEX('Ingredient Database'!$D$5:$D$38,MATCH($A8,'Ingredient Database'!$A$5:$A$38,0))*$C8,"check name")</f>
        <v>check name</v>
      </c>
      <c r="F8" s="8" t="str">
        <f>IFERROR(INDEX('Ingredient Database'!$E$5:$E$38,MATCH($A8,'Ingredient Database'!$A$5:$A$38,0))*$C8,"check name")</f>
        <v>check name</v>
      </c>
      <c r="G8" s="8" t="str">
        <f>IFERROR(INDEX('Ingredient Database'!$F$5:$F$38,MATCH($A8,'Ingredient Database'!$A$5:$A$38,0))*$C8,"check name")</f>
        <v>check name</v>
      </c>
      <c r="H8" s="8" t="str">
        <f>IFERROR(INDEX('Ingredient Database'!$G$5:$G$38,MATCH($A8,'Ingredient Database'!$A$5:$A$38,0))*$C8,"check name")</f>
        <v>check name</v>
      </c>
      <c r="I8" s="8" t="str">
        <f>IFERROR(INDEX('Ingredient Database'!$H$5:$H$38,MATCH($A8,'Ingredient Database'!$A$5:$A$38,0))*$C8,"check name")</f>
        <v>check name</v>
      </c>
      <c r="J8" s="8" t="str">
        <f>IFERROR(INDEX('Ingredient Database'!$I$5:$I$38,MATCH($A8,'Ingredient Database'!$A$5:$A$38,0))*$C8,"check name")</f>
        <v>check name</v>
      </c>
      <c r="K8" s="8" t="str">
        <f>IFERROR(INDEX('Ingredient Database'!$J$5:$J$38,MATCH($A8,'Ingredient Database'!$A$5:$A$38,0))*$C8,"check name")</f>
        <v>check name</v>
      </c>
      <c r="L8" s="8" t="str">
        <f>IFERROR(INDEX('Ingredient Database'!$K$5:$K$38,MATCH($A8,'Ingredient Database'!$A$5:$A$38,0))*$C8,"check name")</f>
        <v>check name</v>
      </c>
      <c r="M8" s="8" t="str">
        <f>IFERROR(INDEX('Ingredient Database'!$L$5:$L$38,MATCH($A8,'Ingredient Database'!$A$5:$A$38,0))*$C8,"check name")</f>
        <v>check name</v>
      </c>
      <c r="N8" s="8" t="str">
        <f>IFERROR(INDEX('Ingredient Database'!$M$5:$M$38,MATCH($A8,'Ingredient Database'!$A$5:$A$38,0))*$C8,"check name")</f>
        <v>check name</v>
      </c>
      <c r="O8" s="8" t="str">
        <f>IFERROR(INDEX('Ingredient Database'!$N$5:$N$38,MATCH($A8,'Ingredient Database'!$A$5:$A$38,0))*$C8,"check name")</f>
        <v>check name</v>
      </c>
      <c r="P8" s="8" t="str">
        <f>IFERROR(INDEX('Ingredient Database'!$O$5:$O$38,MATCH($A8,'Ingredient Database'!$A$5:$A$38,0))*$C8,"check name")</f>
        <v>check name</v>
      </c>
    </row>
    <row r="9" spans="1:16" x14ac:dyDescent="0.3">
      <c r="A9" s="4" t="s">
        <v>98</v>
      </c>
      <c r="B9" s="5" t="s">
        <v>99</v>
      </c>
      <c r="C9" s="7">
        <v>1</v>
      </c>
      <c r="D9" s="8" t="str">
        <f>IFERROR(INDEX('Ingredient Database'!$C$5:$C$38,MATCH($A9,'Ingredient Database'!$A$5:$A$38,0))*$C9,"check name")</f>
        <v>check name</v>
      </c>
      <c r="E9" s="8" t="str">
        <f>IFERROR(INDEX('Ingredient Database'!$D$5:$D$38,MATCH($A9,'Ingredient Database'!$A$5:$A$38,0))*$C9,"check name")</f>
        <v>check name</v>
      </c>
      <c r="F9" s="8" t="str">
        <f>IFERROR(INDEX('Ingredient Database'!$E$5:$E$38,MATCH($A9,'Ingredient Database'!$A$5:$A$38,0))*$C9,"check name")</f>
        <v>check name</v>
      </c>
      <c r="G9" s="8" t="str">
        <f>IFERROR(INDEX('Ingredient Database'!$F$5:$F$38,MATCH($A9,'Ingredient Database'!$A$5:$A$38,0))*$C9,"check name")</f>
        <v>check name</v>
      </c>
      <c r="H9" s="8" t="str">
        <f>IFERROR(INDEX('Ingredient Database'!$G$5:$G$38,MATCH($A9,'Ingredient Database'!$A$5:$A$38,0))*$C9,"check name")</f>
        <v>check name</v>
      </c>
      <c r="I9" s="8" t="str">
        <f>IFERROR(INDEX('Ingredient Database'!$H$5:$H$38,MATCH($A9,'Ingredient Database'!$A$5:$A$38,0))*$C9,"check name")</f>
        <v>check name</v>
      </c>
      <c r="J9" s="8" t="str">
        <f>IFERROR(INDEX('Ingredient Database'!$I$5:$I$38,MATCH($A9,'Ingredient Database'!$A$5:$A$38,0))*$C9,"check name")</f>
        <v>check name</v>
      </c>
      <c r="K9" s="8" t="str">
        <f>IFERROR(INDEX('Ingredient Database'!$J$5:$J$38,MATCH($A9,'Ingredient Database'!$A$5:$A$38,0))*$C9,"check name")</f>
        <v>check name</v>
      </c>
      <c r="L9" s="8" t="str">
        <f>IFERROR(INDEX('Ingredient Database'!$K$5:$K$38,MATCH($A9,'Ingredient Database'!$A$5:$A$38,0))*$C9,"check name")</f>
        <v>check name</v>
      </c>
      <c r="M9" s="8" t="str">
        <f>IFERROR(INDEX('Ingredient Database'!$L$5:$L$38,MATCH($A9,'Ingredient Database'!$A$5:$A$38,0))*$C9,"check name")</f>
        <v>check name</v>
      </c>
      <c r="N9" s="8" t="str">
        <f>IFERROR(INDEX('Ingredient Database'!$M$5:$M$38,MATCH($A9,'Ingredient Database'!$A$5:$A$38,0))*$C9,"check name")</f>
        <v>check name</v>
      </c>
      <c r="O9" s="8" t="str">
        <f>IFERROR(INDEX('Ingredient Database'!$N$5:$N$38,MATCH($A9,'Ingredient Database'!$A$5:$A$38,0))*$C9,"check name")</f>
        <v>check name</v>
      </c>
      <c r="P9" s="8" t="str">
        <f>IFERROR(INDEX('Ingredient Database'!$O$5:$O$38,MATCH($A9,'Ingredient Database'!$A$5:$A$38,0))*$C9,"check name")</f>
        <v>check name</v>
      </c>
    </row>
    <row r="10" spans="1:16" x14ac:dyDescent="0.3">
      <c r="A10" s="4" t="s">
        <v>98</v>
      </c>
      <c r="B10" s="5" t="s">
        <v>99</v>
      </c>
      <c r="C10" s="7">
        <v>1</v>
      </c>
      <c r="D10" s="8" t="str">
        <f>IFERROR(INDEX('Ingredient Database'!$C$5:$C$38,MATCH($A10,'Ingredient Database'!$A$5:$A$38,0))*$C10,"check name")</f>
        <v>check name</v>
      </c>
      <c r="E10" s="8" t="str">
        <f>IFERROR(INDEX('Ingredient Database'!$D$5:$D$38,MATCH($A10,'Ingredient Database'!$A$5:$A$38,0))*$C10,"check name")</f>
        <v>check name</v>
      </c>
      <c r="F10" s="8" t="str">
        <f>IFERROR(INDEX('Ingredient Database'!$E$5:$E$38,MATCH($A10,'Ingredient Database'!$A$5:$A$38,0))*$C10,"check name")</f>
        <v>check name</v>
      </c>
      <c r="G10" s="8" t="str">
        <f>IFERROR(INDEX('Ingredient Database'!$F$5:$F$38,MATCH($A10,'Ingredient Database'!$A$5:$A$38,0))*$C10,"check name")</f>
        <v>check name</v>
      </c>
      <c r="H10" s="8" t="str">
        <f>IFERROR(INDEX('Ingredient Database'!$G$5:$G$38,MATCH($A10,'Ingredient Database'!$A$5:$A$38,0))*$C10,"check name")</f>
        <v>check name</v>
      </c>
      <c r="I10" s="8" t="str">
        <f>IFERROR(INDEX('Ingredient Database'!$H$5:$H$38,MATCH($A10,'Ingredient Database'!$A$5:$A$38,0))*$C10,"check name")</f>
        <v>check name</v>
      </c>
      <c r="J10" s="8" t="str">
        <f>IFERROR(INDEX('Ingredient Database'!$I$5:$I$38,MATCH($A10,'Ingredient Database'!$A$5:$A$38,0))*$C10,"check name")</f>
        <v>check name</v>
      </c>
      <c r="K10" s="8" t="str">
        <f>IFERROR(INDEX('Ingredient Database'!$J$5:$J$38,MATCH($A10,'Ingredient Database'!$A$5:$A$38,0))*$C10,"check name")</f>
        <v>check name</v>
      </c>
      <c r="L10" s="8" t="str">
        <f>IFERROR(INDEX('Ingredient Database'!$K$5:$K$38,MATCH($A10,'Ingredient Database'!$A$5:$A$38,0))*$C10,"check name")</f>
        <v>check name</v>
      </c>
      <c r="M10" s="8" t="str">
        <f>IFERROR(INDEX('Ingredient Database'!$L$5:$L$38,MATCH($A10,'Ingredient Database'!$A$5:$A$38,0))*$C10,"check name")</f>
        <v>check name</v>
      </c>
      <c r="N10" s="8" t="str">
        <f>IFERROR(INDEX('Ingredient Database'!$M$5:$M$38,MATCH($A10,'Ingredient Database'!$A$5:$A$38,0))*$C10,"check name")</f>
        <v>check name</v>
      </c>
      <c r="O10" s="8" t="str">
        <f>IFERROR(INDEX('Ingredient Database'!$N$5:$N$38,MATCH($A10,'Ingredient Database'!$A$5:$A$38,0))*$C10,"check name")</f>
        <v>check name</v>
      </c>
      <c r="P10" s="8" t="str">
        <f>IFERROR(INDEX('Ingredient Database'!$O$5:$O$38,MATCH($A10,'Ingredient Database'!$A$5:$A$38,0))*$C10,"check name")</f>
        <v>check name</v>
      </c>
    </row>
    <row r="11" spans="1:16" x14ac:dyDescent="0.3">
      <c r="A11" s="9" t="s">
        <v>64</v>
      </c>
      <c r="B11" s="10"/>
      <c r="C11" s="10"/>
      <c r="D11" s="11">
        <f t="shared" ref="D11:P11" si="0">SUM(D5:D10)</f>
        <v>0</v>
      </c>
      <c r="E11" s="11">
        <f t="shared" si="0"/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1">
        <f t="shared" si="0"/>
        <v>0</v>
      </c>
      <c r="P11" s="11">
        <f t="shared" si="0"/>
        <v>0</v>
      </c>
    </row>
  </sheetData>
  <mergeCells count="2">
    <mergeCell ref="A1:P1"/>
    <mergeCell ref="A2:P2"/>
  </mergeCells>
  <pageMargins left="0.4" right="0.4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Ingredient Database</vt:lpstr>
      <vt:lpstr>Recipe - Banh Mi Bowl</vt:lpstr>
      <vt:lpstr>Recipe - Chana Masala</vt:lpstr>
      <vt:lpstr>Recipe - Burrito</vt:lpstr>
      <vt:lpstr>Recipe - Muffins</vt:lpstr>
      <vt:lpstr>Recipe - Template</vt:lpstr>
      <vt:lpstr>'Recipe - Banh Mi Bowl'!Print_Area</vt:lpstr>
      <vt:lpstr>'Recipe - Burrito'!Print_Area</vt:lpstr>
      <vt:lpstr>'Recipe - Chana Masala'!Print_Area</vt:lpstr>
      <vt:lpstr>'Recipe - Muffins'!Print_Area</vt:lpstr>
      <vt:lpstr>'Recipe - Template'!Print_Area</vt:lpstr>
      <vt:lpstr>'Recipe - Banh Mi Bowl'!Print_Titles</vt:lpstr>
      <vt:lpstr>'Recipe - Burrito'!Print_Titles</vt:lpstr>
      <vt:lpstr>'Recipe - Chana Masala'!Print_Titles</vt:lpstr>
      <vt:lpstr>'Recipe - Muffins'!Print_Titles</vt:lpstr>
      <vt:lpstr>'Recipe -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Yasith Yasanayake</cp:lastModifiedBy>
  <cp:revision>0</cp:revision>
  <dcterms:created xsi:type="dcterms:W3CDTF">2026-07-21T18:53:10Z</dcterms:created>
  <dcterms:modified xsi:type="dcterms:W3CDTF">2026-07-22T21:33:44Z</dcterms:modified>
  <dc:language>en-US</dc:language>
</cp:coreProperties>
</file>